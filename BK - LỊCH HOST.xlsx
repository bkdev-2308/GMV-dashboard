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HÁNG 8" sheetId="1" r:id="rId5"/>
    <sheet state="hidden" name="THÁNG 6" sheetId="2" r:id="rId6"/>
    <sheet state="hidden" name="THÁNG 7" sheetId="3" r:id="rId7"/>
    <sheet state="hidden" name="THÁNG 9" sheetId="4" r:id="rId8"/>
    <sheet state="hidden" name="THÁNG 10" sheetId="5" r:id="rId9"/>
    <sheet state="hidden" name="BẢNG KÊ CHI PHÍ THÁNG 10" sheetId="6" r:id="rId10"/>
    <sheet state="hidden" name="THÁNG 11" sheetId="7" r:id="rId11"/>
    <sheet state="hidden" name="BẢNG KÊ CHI PHÍ THÁNG 11" sheetId="8" r:id="rId12"/>
    <sheet state="visible" name="THÁNG 12" sheetId="9" r:id="rId13"/>
    <sheet state="hidden" name="BẢNG KÊ CHI PHÍ THÁNG 12" sheetId="10" r:id="rId14"/>
    <sheet state="visible" name="THÁNG 1" sheetId="11" r:id="rId15"/>
    <sheet state="visible" name="THÁNG 2" sheetId="12" r:id="rId16"/>
    <sheet state="hidden" name="Trang tính10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tc={4a9b1d64-4787-489b-b053-33fc35f727e0}</author>
    <author>tc={c3356043-1a8c-4825-90d9-607baff79763}</author>
  </authors>
  <commentList>
    <comment authorId="0" xr:uid="{4a9b1d64-4787-489b-b053-33fc35f727e0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Lịch kt check: không thấy note checkin - checkout của phiên live TTS ngày 10-11/10
</t>
      </text>
    </comment>
    <comment authorId="1" xr:uid="{c3356043-1a8c-4825-90d9-607baff79763}" ref="C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KT check ngày 29/10
Checkin: 22:00
Checkout: 24:15
</t>
      </text>
    </comment>
  </commentList>
</comments>
</file>

<file path=xl/sharedStrings.xml><?xml version="1.0" encoding="utf-8"?>
<sst xmlns="http://schemas.openxmlformats.org/spreadsheetml/2006/main" count="4159" uniqueCount="601">
  <si>
    <t xml:space="preserve">  TUẦN 1 </t>
  </si>
  <si>
    <t>BẢNG KÊ CHI PHÍ HOST FREELANCE THÁNG 8</t>
  </si>
  <si>
    <t>STT</t>
  </si>
  <si>
    <t xml:space="preserve">TÊN HOST </t>
  </si>
  <si>
    <t xml:space="preserve">NGÀY LIVE </t>
  </si>
  <si>
    <t xml:space="preserve">KHUNG GIỜ </t>
  </si>
  <si>
    <t>SỐ TIẾNG</t>
  </si>
  <si>
    <t xml:space="preserve">GIÁ 1 GIỜ </t>
  </si>
  <si>
    <t>THÀNH TIỀN</t>
  </si>
  <si>
    <t xml:space="preserve">TỔNG TIỀN </t>
  </si>
  <si>
    <t>THỨ</t>
  </si>
  <si>
    <t>NGÀY</t>
  </si>
  <si>
    <t xml:space="preserve">THỜI GIAN </t>
  </si>
  <si>
    <t>HOST</t>
  </si>
  <si>
    <t>CoHost</t>
  </si>
  <si>
    <t xml:space="preserve">SỐ TIẾNG </t>
  </si>
  <si>
    <t>STUDIO</t>
  </si>
  <si>
    <t xml:space="preserve">NOTE </t>
  </si>
  <si>
    <t>GMV ĐẦU</t>
  </si>
  <si>
    <t>GMV CUỐI</t>
  </si>
  <si>
    <t xml:space="preserve">GIÁ CAST GIỜ HOST CHÍNH </t>
  </si>
  <si>
    <t xml:space="preserve">GIÁ CAST GIỜ COHOST </t>
  </si>
  <si>
    <t xml:space="preserve">GIÁ CAST KHUNG </t>
  </si>
  <si>
    <t>TOTAL TỪNG NGÀY</t>
  </si>
  <si>
    <t>Đăng</t>
  </si>
  <si>
    <t>13h - 16h</t>
  </si>
  <si>
    <t>T6</t>
  </si>
  <si>
    <t>10h - 14h</t>
  </si>
  <si>
    <t xml:space="preserve">KChang </t>
  </si>
  <si>
    <t xml:space="preserve">Shin </t>
  </si>
  <si>
    <t>L2</t>
  </si>
  <si>
    <t>18h - 22h</t>
  </si>
  <si>
    <t>14h - 18h30</t>
  </si>
  <si>
    <t xml:space="preserve">Lucas </t>
  </si>
  <si>
    <t>15h - 18h</t>
  </si>
  <si>
    <t>18h30 - 22h</t>
  </si>
  <si>
    <t>Cá</t>
  </si>
  <si>
    <t>20h - 24h</t>
  </si>
  <si>
    <t>22h - 25h</t>
  </si>
  <si>
    <t>Tâm Vy</t>
  </si>
  <si>
    <t>14h - 18h</t>
  </si>
  <si>
    <t>T7</t>
  </si>
  <si>
    <t>Shin</t>
  </si>
  <si>
    <t>Henry</t>
  </si>
  <si>
    <t>12h - 16h</t>
  </si>
  <si>
    <t>CN</t>
  </si>
  <si>
    <t xml:space="preserve">Đăng 13h - 16h </t>
  </si>
  <si>
    <t xml:space="preserve">CHƯA TÍNH CAST </t>
  </si>
  <si>
    <t xml:space="preserve">18h - 22h </t>
  </si>
  <si>
    <t xml:space="preserve">Thanh Vi </t>
  </si>
  <si>
    <t xml:space="preserve">16h - 20h </t>
  </si>
  <si>
    <t xml:space="preserve">22h - 25h </t>
  </si>
  <si>
    <t xml:space="preserve">20h - 24h </t>
  </si>
  <si>
    <t>TUẦN 2</t>
  </si>
  <si>
    <t xml:space="preserve">19h - 22h </t>
  </si>
  <si>
    <t>T2</t>
  </si>
  <si>
    <t>OFF</t>
  </si>
  <si>
    <t xml:space="preserve">23h - 25h </t>
  </si>
  <si>
    <t>T3</t>
  </si>
  <si>
    <t>19h - 24h</t>
  </si>
  <si>
    <t>KChang 19h - 23h</t>
  </si>
  <si>
    <t xml:space="preserve">MASSLIVE </t>
  </si>
  <si>
    <t>T4</t>
  </si>
  <si>
    <t>KChang</t>
  </si>
  <si>
    <t xml:space="preserve">20h - 25h </t>
  </si>
  <si>
    <t xml:space="preserve">Đăng </t>
  </si>
  <si>
    <t>CHƯA TÍNH CAST</t>
  </si>
  <si>
    <t>Zôn</t>
  </si>
  <si>
    <t>Cá ( Thanh Hồng)</t>
  </si>
  <si>
    <t xml:space="preserve">18h30 - 22h </t>
  </si>
  <si>
    <t>11h - 15h</t>
  </si>
  <si>
    <t>Lucas</t>
  </si>
  <si>
    <t>Pumet 7</t>
  </si>
  <si>
    <t>L3</t>
  </si>
  <si>
    <t>Tạp hóa sàn S</t>
  </si>
  <si>
    <t>15h - 17h</t>
  </si>
  <si>
    <t xml:space="preserve">Quỳnh </t>
  </si>
  <si>
    <t>T5</t>
  </si>
  <si>
    <t xml:space="preserve">12h - 16h </t>
  </si>
  <si>
    <t>Duy Anh 12h - 15h</t>
  </si>
  <si>
    <t>Super</t>
  </si>
  <si>
    <t>Đăng 15h - 18h</t>
  </si>
  <si>
    <t>Thanh Vi</t>
  </si>
  <si>
    <t xml:space="preserve">Duy Anh 18h - 21h 
Pu 20h - 24h </t>
  </si>
  <si>
    <t>1,001,980,089</t>
  </si>
  <si>
    <t>14h15 - 16h</t>
  </si>
  <si>
    <t>Shin 15h - 18h</t>
  </si>
  <si>
    <t>20h - 23h</t>
  </si>
  <si>
    <t>23h - 25h</t>
  </si>
  <si>
    <t>40,243,618</t>
  </si>
  <si>
    <t>75,856,326</t>
  </si>
  <si>
    <t>102,516,506</t>
  </si>
  <si>
    <t xml:space="preserve">Tâm Vy </t>
  </si>
  <si>
    <t>148,807,386</t>
  </si>
  <si>
    <t>14h - 18j</t>
  </si>
  <si>
    <t>33,102,000</t>
  </si>
  <si>
    <t>68,895,295</t>
  </si>
  <si>
    <t>Lucas 11h - 14h và từ 19h đổ đi</t>
  </si>
  <si>
    <t>18h- 22h</t>
  </si>
  <si>
    <t>110,412,148</t>
  </si>
  <si>
    <t>THANH VI MẨU PHIÊN MEGA: 150K/H</t>
  </si>
  <si>
    <t>Tuyền</t>
  </si>
  <si>
    <t>TUẦN 3</t>
  </si>
  <si>
    <t>20h - 25h</t>
  </si>
  <si>
    <t xml:space="preserve">LUCAS WFH SAU MEGA </t>
  </si>
  <si>
    <t>16h - 18h</t>
  </si>
  <si>
    <t>16h - 20h</t>
  </si>
  <si>
    <t>19h - 24h30</t>
  </si>
  <si>
    <t xml:space="preserve">Sally </t>
  </si>
  <si>
    <t>185,240,373</t>
  </si>
  <si>
    <t>Nikkie</t>
  </si>
  <si>
    <t>385,585,480</t>
  </si>
  <si>
    <t xml:space="preserve">10h - 14h </t>
  </si>
  <si>
    <t xml:space="preserve">CHƯA TÍNH </t>
  </si>
  <si>
    <t>OFF DAILY - LIVE MEGA</t>
  </si>
  <si>
    <t>ANH THƯ MẪU 1 TIẾNG 15H - 16H : 100K</t>
  </si>
  <si>
    <t xml:space="preserve">15h - 18h </t>
  </si>
  <si>
    <t>LUCAS OFF SÁNG  SAU MEGA 14/8</t>
  </si>
  <si>
    <r>
      <rPr>
        <rFont val="Arial"/>
        <color theme="1"/>
      </rPr>
      <t xml:space="preserve">LUCAS LIVE MEGA 15/8 
</t>
    </r>
    <r>
      <rPr>
        <rFont val="Arial"/>
        <b/>
        <color theme="1"/>
      </rPr>
      <t>BẢO KHANH MẪU MEGA 1 TIẾNG 350K/H</t>
    </r>
  </si>
  <si>
    <t xml:space="preserve">12h - 18h </t>
  </si>
  <si>
    <t>Quỳnh</t>
  </si>
  <si>
    <t>10h - 14h30</t>
  </si>
  <si>
    <t>MASSLIVE</t>
  </si>
  <si>
    <t>37,829,407</t>
  </si>
  <si>
    <t>LUCAS WFH SAU MEGA 15/8</t>
  </si>
  <si>
    <t>16h - 21h</t>
  </si>
  <si>
    <t>LUCAS OFF</t>
  </si>
  <si>
    <t>Công Hậu</t>
  </si>
  <si>
    <t>TUẦN 4</t>
  </si>
  <si>
    <t xml:space="preserve">OFF DAILY - LIVE MEGA </t>
  </si>
  <si>
    <t>BẢO KHANH HOST MEGA 15h - 19h (300k/h)
ANH THƯ MẪU 1 TIẾNG 15H30 - 16H30: 100K</t>
  </si>
  <si>
    <t>Shin 12h - 18h
Hoàng Duy live test 18h - 20h</t>
  </si>
  <si>
    <t xml:space="preserve">TTA </t>
  </si>
  <si>
    <t xml:space="preserve">L2 </t>
  </si>
  <si>
    <t>OFF BÙ 18/8</t>
  </si>
  <si>
    <t>Shin off</t>
  </si>
  <si>
    <t>Shin 10h - 14h30</t>
  </si>
  <si>
    <t>WEEKEND</t>
  </si>
  <si>
    <t>10h - 14h15</t>
  </si>
  <si>
    <t>LUCAS live TTS</t>
  </si>
  <si>
    <t>TUẦN 5</t>
  </si>
  <si>
    <t>LIVE ICON</t>
  </si>
  <si>
    <t>Trúc Nhi mẫu mega 15h - 16h: 100k/h</t>
  </si>
  <si>
    <t>LUCAS OFF SAU MEGA  25/8</t>
  </si>
  <si>
    <t xml:space="preserve">19h - 23h </t>
  </si>
  <si>
    <t>Pu Phạm</t>
  </si>
  <si>
    <t>Tạp Hóa Sàn S</t>
  </si>
  <si>
    <t>Shin 16h - 21h</t>
  </si>
  <si>
    <t>Lucas off</t>
  </si>
  <si>
    <t>Đăng 12h - 16h Shin 16h - 18h</t>
  </si>
  <si>
    <t>DAILY</t>
  </si>
  <si>
    <t>18h - 21h</t>
  </si>
  <si>
    <t>KChang off bù ngày 24/8</t>
  </si>
  <si>
    <t>NOTE</t>
  </si>
  <si>
    <t>12h - 17h</t>
  </si>
  <si>
    <t>17h - 21h</t>
  </si>
  <si>
    <t>Hậu</t>
  </si>
  <si>
    <t>21h - 25h</t>
  </si>
  <si>
    <t xml:space="preserve">Henry </t>
  </si>
  <si>
    <t>Live test: Tuấn Khanh  12h:00 - 14h:00</t>
  </si>
  <si>
    <t>Lucas 19h - 21h</t>
  </si>
  <si>
    <r>
      <rPr>
        <rFont val="Arial"/>
        <b/>
        <color rgb="FF0000FF"/>
        <sz val="12.0"/>
      </rPr>
      <t>Đăng</t>
    </r>
    <r>
      <rPr>
        <rFont val="Arial"/>
        <b/>
        <color theme="1"/>
        <sz val="12.0"/>
      </rPr>
      <t xml:space="preserve"> </t>
    </r>
  </si>
  <si>
    <t>Shopee Style 
Pu Phạm 20h - 23h</t>
  </si>
  <si>
    <t>16h - 19h</t>
  </si>
  <si>
    <t>Gia Hân</t>
  </si>
  <si>
    <t>19h - 22h</t>
  </si>
  <si>
    <t xml:space="preserve">Đăng  </t>
  </si>
  <si>
    <t>Live test: Uyên Mai 17:00 - 19:00</t>
  </si>
  <si>
    <t>18h - 23h</t>
  </si>
  <si>
    <t>9h - 12h</t>
  </si>
  <si>
    <t xml:space="preserve">Hậu </t>
  </si>
  <si>
    <t>Live test: Khánh Quỳnh 14h - 15h</t>
  </si>
  <si>
    <t>Live test: Thủy Tiên 16h - 18h</t>
  </si>
  <si>
    <t>18h - 20h</t>
  </si>
  <si>
    <t>Ly</t>
  </si>
  <si>
    <t>20h - 22h</t>
  </si>
  <si>
    <t xml:space="preserve">14h - 18h </t>
  </si>
  <si>
    <t xml:space="preserve">Live test Thanh Thúy 16h - 18h </t>
  </si>
  <si>
    <t>15h45 - 17h</t>
  </si>
  <si>
    <t xml:space="preserve">Tuyển </t>
  </si>
  <si>
    <t>17h - 21h15</t>
  </si>
  <si>
    <t>Henry 13:00 - 14:00</t>
  </si>
  <si>
    <t>Gia Hân 17:00 - 18:00</t>
  </si>
  <si>
    <t>10h - 12h</t>
  </si>
  <si>
    <t xml:space="preserve">Trúc Giang </t>
  </si>
  <si>
    <t>12h - 14h</t>
  </si>
  <si>
    <t>Linh Nhi</t>
  </si>
  <si>
    <t>Lucas 13h - 14h</t>
  </si>
  <si>
    <t>Gia Hân 17h - 18h</t>
  </si>
  <si>
    <t>14h -19h</t>
  </si>
  <si>
    <t>10h - 15h</t>
  </si>
  <si>
    <t>32.618.080</t>
  </si>
  <si>
    <t>15h - 19h</t>
  </si>
  <si>
    <t>Gia Hân: 18h - 19h</t>
  </si>
  <si>
    <t xml:space="preserve"> Gia Hân</t>
  </si>
  <si>
    <t xml:space="preserve">5 tiếng cuối Shopee Style </t>
  </si>
  <si>
    <t>13.140.795</t>
  </si>
  <si>
    <t>14h - 19h</t>
  </si>
  <si>
    <t xml:space="preserve">Đăng 18h - 19h </t>
  </si>
  <si>
    <t>Henry 20h - 21h</t>
  </si>
  <si>
    <t>Đăng 21h - 25h</t>
  </si>
  <si>
    <t>Gia Hân 14h - 15h</t>
  </si>
  <si>
    <t>Henry 20h - 25h</t>
  </si>
  <si>
    <t>Đăng ghim</t>
  </si>
  <si>
    <t>13/6/2025</t>
  </si>
  <si>
    <t xml:space="preserve">Bảo Khanh </t>
  </si>
  <si>
    <t>Henry 14h - 15h</t>
  </si>
  <si>
    <t>14/6/2025</t>
  </si>
  <si>
    <t xml:space="preserve">11h - 13h </t>
  </si>
  <si>
    <t>Henry 12h - 13h</t>
  </si>
  <si>
    <t>13h - 17h</t>
  </si>
  <si>
    <t>17h - 22h</t>
  </si>
  <si>
    <t>22h - 25h30</t>
  </si>
  <si>
    <t>CoHost Creator</t>
  </si>
  <si>
    <t>15/6/2025</t>
  </si>
  <si>
    <t>Đăng 12h - 15h</t>
  </si>
  <si>
    <t>14h - 17h</t>
  </si>
  <si>
    <t xml:space="preserve">GMV TRƯỚC BÁN </t>
  </si>
  <si>
    <t>GMV SAU BÁN</t>
  </si>
  <si>
    <t xml:space="preserve">GMV TRONG KHUNG </t>
  </si>
  <si>
    <t>16/6/2025</t>
  </si>
  <si>
    <t xml:space="preserve">L3 </t>
  </si>
  <si>
    <t>17/6/2025</t>
  </si>
  <si>
    <t xml:space="preserve">9h - 13h </t>
  </si>
  <si>
    <t>19.118.882</t>
  </si>
  <si>
    <t>18/6/2025</t>
  </si>
  <si>
    <t>68,632,644,</t>
  </si>
  <si>
    <t>19/6/2025</t>
  </si>
  <si>
    <t>34.442.838</t>
  </si>
  <si>
    <t>15h - 20h</t>
  </si>
  <si>
    <t xml:space="preserve">Gia Hân </t>
  </si>
  <si>
    <t xml:space="preserve">Phương Loan </t>
  </si>
  <si>
    <t>20/6/2025</t>
  </si>
  <si>
    <t>9h - 13h</t>
  </si>
  <si>
    <t>21/6/2025</t>
  </si>
  <si>
    <t xml:space="preserve">Gia Hân 18h - 20h </t>
  </si>
  <si>
    <t>22/6/2025</t>
  </si>
  <si>
    <t>91.269.049</t>
  </si>
  <si>
    <t xml:space="preserve">Henry 17h - 19h </t>
  </si>
  <si>
    <t>21h - 1h30</t>
  </si>
  <si>
    <t>Gia Hân 21h - 23h</t>
  </si>
  <si>
    <t>23/6/2025</t>
  </si>
  <si>
    <t>Đăng 11h - 14h</t>
  </si>
  <si>
    <t>Henry 21h - 22h</t>
  </si>
  <si>
    <t>24/6/2025</t>
  </si>
  <si>
    <t xml:space="preserve">9h - 12h </t>
  </si>
  <si>
    <t>25/6/2025</t>
  </si>
  <si>
    <t xml:space="preserve">Gia Hân 17h - 19h </t>
  </si>
  <si>
    <t>26/6/2025</t>
  </si>
  <si>
    <t>Đăng 11h - 15h</t>
  </si>
  <si>
    <t>27/6/2025</t>
  </si>
  <si>
    <t>Phương Loan</t>
  </si>
  <si>
    <t>Lucas 18h - 19h</t>
  </si>
  <si>
    <t>28/6/2025</t>
  </si>
  <si>
    <t xml:space="preserve">10h - 15h </t>
  </si>
  <si>
    <t>29/6/2025</t>
  </si>
  <si>
    <t>30/6/2025</t>
  </si>
  <si>
    <t xml:space="preserve">15h - 19h </t>
  </si>
  <si>
    <t>Gia Hân 20H - 22H</t>
  </si>
  <si>
    <t xml:space="preserve">TUẦN 1 </t>
  </si>
  <si>
    <t>BẢNG KÊ CHI PHÍ HOST FREELANCE THÁNG 7</t>
  </si>
  <si>
    <t>GIÁ CAST GIỜ</t>
  </si>
  <si>
    <t xml:space="preserve">17h - 22h </t>
  </si>
  <si>
    <t>16h25 - 20h</t>
  </si>
  <si>
    <t xml:space="preserve">5 tiếng Shopee style </t>
  </si>
  <si>
    <t xml:space="preserve">Henry 13h - 14h </t>
  </si>
  <si>
    <t>19h - 25h</t>
  </si>
  <si>
    <t>KChang 14h - 15h</t>
  </si>
  <si>
    <t>LUCAS làm tối</t>
  </si>
  <si>
    <t>18h30 - 21h</t>
  </si>
  <si>
    <t>HỌP</t>
  </si>
  <si>
    <t>14h - 15h30</t>
  </si>
  <si>
    <t>1,5</t>
  </si>
  <si>
    <t xml:space="preserve">15h30 - 18h </t>
  </si>
  <si>
    <t>2,5</t>
  </si>
  <si>
    <t xml:space="preserve">Ngọc Quỳnh </t>
  </si>
  <si>
    <t xml:space="preserve">10h - 16h </t>
  </si>
  <si>
    <t>Lucas 17h - 18h</t>
  </si>
  <si>
    <t xml:space="preserve">Henry 19h - 21h </t>
  </si>
  <si>
    <t xml:space="preserve">Lucas chiều tối </t>
  </si>
  <si>
    <t>Thảo Anh</t>
  </si>
  <si>
    <t xml:space="preserve">18h -22h </t>
  </si>
  <si>
    <t xml:space="preserve">Lucas sáng </t>
  </si>
  <si>
    <t>Henry off</t>
  </si>
  <si>
    <t xml:space="preserve">19h - 22h  </t>
  </si>
  <si>
    <t>Creator</t>
  </si>
  <si>
    <t>6 tiếng Shopee style</t>
  </si>
  <si>
    <t>10h - 16h</t>
  </si>
  <si>
    <t>16h - 17h</t>
  </si>
  <si>
    <t>Khang - Sample</t>
  </si>
  <si>
    <t xml:space="preserve">Thanh Hồng </t>
  </si>
  <si>
    <t xml:space="preserve">17h - 21h </t>
  </si>
  <si>
    <t>Phương Loan 17h - 21h</t>
  </si>
  <si>
    <t>Creator 20h - 24h</t>
  </si>
  <si>
    <t xml:space="preserve">21h - 25h </t>
  </si>
  <si>
    <t>22h -25h</t>
  </si>
  <si>
    <t>12h - 16h30</t>
  </si>
  <si>
    <t>Super live Đan Chi</t>
  </si>
  <si>
    <t>16h30 - 20h</t>
  </si>
  <si>
    <t>20h - 2h</t>
  </si>
  <si>
    <t>HENRY OFF</t>
  </si>
  <si>
    <t>8/72025</t>
  </si>
  <si>
    <t>11h - 15h30</t>
  </si>
  <si>
    <t>LUCAS WFH SAU MEGA</t>
  </si>
  <si>
    <t>Henry off do ông mất</t>
  </si>
  <si>
    <t>Đăng 18h - 22h</t>
  </si>
  <si>
    <t>12h30 - 16h</t>
  </si>
  <si>
    <t>Thắng mukbang</t>
  </si>
  <si>
    <t xml:space="preserve">18h - 20h </t>
  </si>
  <si>
    <t>Hoàng Vi</t>
  </si>
  <si>
    <t>16h- 19h</t>
  </si>
  <si>
    <t>12h - 15h</t>
  </si>
  <si>
    <t>10h - 13h30</t>
  </si>
  <si>
    <t xml:space="preserve">Đăng 19h - 22h </t>
  </si>
  <si>
    <t>Henry + Creator</t>
  </si>
  <si>
    <t xml:space="preserve">Shopee Style </t>
  </si>
  <si>
    <t>Henry + Tuyền</t>
  </si>
  <si>
    <t>Đăng 11h - 15h 
Khánh Công 15h -  19h</t>
  </si>
  <si>
    <t xml:space="preserve">Creator
20h - 24h </t>
  </si>
  <si>
    <t>13/7/2025</t>
  </si>
  <si>
    <t xml:space="preserve">Khánh Công </t>
  </si>
  <si>
    <t>Phương Loan + Creator</t>
  </si>
  <si>
    <t>Phương Loan + Ngọc Quỳnh</t>
  </si>
  <si>
    <t>14/7/2025</t>
  </si>
  <si>
    <t>Vũ Ngọc Anh</t>
  </si>
  <si>
    <t>36 tiếng liên tục</t>
  </si>
  <si>
    <t>Pu Phạm 20h - 26h</t>
  </si>
  <si>
    <t xml:space="preserve">24h - 4h </t>
  </si>
  <si>
    <t>15/72025</t>
  </si>
  <si>
    <t xml:space="preserve">4h - 8h </t>
  </si>
  <si>
    <t>8h - 12h</t>
  </si>
  <si>
    <t>Khánh Linh 17h - 19h</t>
  </si>
  <si>
    <t xml:space="preserve">Vũ Ngọc Anh </t>
  </si>
  <si>
    <t>16/7/2025</t>
  </si>
  <si>
    <t xml:space="preserve">Thắng Mukbang </t>
  </si>
  <si>
    <t>17/7/2025</t>
  </si>
  <si>
    <t>Mỹ Tiên</t>
  </si>
  <si>
    <t>Thanh Tuyền</t>
  </si>
  <si>
    <t>TTA SHP</t>
  </si>
  <si>
    <t>Ngọc Quỳnh</t>
  </si>
  <si>
    <t>18/7/2025</t>
  </si>
  <si>
    <t>Thanh VI</t>
  </si>
  <si>
    <t xml:space="preserve">Shopee style </t>
  </si>
  <si>
    <t>19/7/2025</t>
  </si>
  <si>
    <t>20/7/2025</t>
  </si>
  <si>
    <t>21/7/2025</t>
  </si>
  <si>
    <t>22/7/2025</t>
  </si>
  <si>
    <t>Ngọc Ánh 10h - 12h</t>
  </si>
  <si>
    <t>Lucas 12h - 16h</t>
  </si>
  <si>
    <t>23/7/2025</t>
  </si>
  <si>
    <t>Pu m7</t>
  </si>
  <si>
    <t>Độc quyền P&amp;G</t>
  </si>
  <si>
    <t xml:space="preserve">11h - 15h </t>
  </si>
  <si>
    <t>Hải Đăng</t>
  </si>
  <si>
    <t>Thắng Mukbang</t>
  </si>
  <si>
    <t>Tạp hoá sàn S</t>
  </si>
  <si>
    <t xml:space="preserve">15h - 17h </t>
  </si>
  <si>
    <t>25/7/2025</t>
  </si>
  <si>
    <t>Đăng 11h - 15h30</t>
  </si>
  <si>
    <t>Shin 19h - 22h</t>
  </si>
  <si>
    <t>26/7/2025</t>
  </si>
  <si>
    <t>Shin 12h - 14h</t>
  </si>
  <si>
    <t>Mỹm Trần 20h - 24h</t>
  </si>
  <si>
    <t>Merry</t>
  </si>
  <si>
    <t>Shopee Style</t>
  </si>
  <si>
    <t>27/7/2025</t>
  </si>
  <si>
    <t>Đăng 12h - 16h</t>
  </si>
  <si>
    <t>CHƯA TÍNH</t>
  </si>
  <si>
    <t>Shin 16h - 19h</t>
  </si>
  <si>
    <t>Gia Đình Thảo Vi 20h - 24h</t>
  </si>
  <si>
    <t>28/7/2025</t>
  </si>
  <si>
    <t>Đăng 12h30 - 16h</t>
  </si>
  <si>
    <t>CHƯA TÍNH ĐĂNG</t>
  </si>
  <si>
    <t>29/7/2025</t>
  </si>
  <si>
    <t>Shin 12h - 15h</t>
  </si>
  <si>
    <t>30/7/2025</t>
  </si>
  <si>
    <t>31/7/2025</t>
  </si>
  <si>
    <t>Shin 10h - 13h30</t>
  </si>
  <si>
    <t>18h - 19h40</t>
  </si>
  <si>
    <t>19h40 - 21h</t>
  </si>
  <si>
    <t>1,4</t>
  </si>
  <si>
    <t>19h - 19h40</t>
  </si>
  <si>
    <t>Quốc Khánh</t>
  </si>
  <si>
    <t>0,6</t>
  </si>
  <si>
    <t xml:space="preserve">19h40 - 22h </t>
  </si>
  <si>
    <t>Kim Nhã</t>
  </si>
  <si>
    <t>Live icon in house x3</t>
  </si>
  <si>
    <t xml:space="preserve">Pu 18h - 22h </t>
  </si>
  <si>
    <t>Thiếu Gia Hân 1 công</t>
  </si>
  <si>
    <t>OFF LỄ</t>
  </si>
  <si>
    <t xml:space="preserve">18h - 21h </t>
  </si>
  <si>
    <t>Khoa thích đi 18h - 22h</t>
  </si>
  <si>
    <t>21h - 24h</t>
  </si>
  <si>
    <t xml:space="preserve">Lucas off sau mega </t>
  </si>
  <si>
    <t>Lucas off tuần, Gia Hân off tuần</t>
  </si>
  <si>
    <t>LUCAS OFF PHÉP</t>
  </si>
  <si>
    <t>Shin 13h - 19h</t>
  </si>
  <si>
    <t xml:space="preserve">  TUẦN 2</t>
  </si>
  <si>
    <t>S</t>
  </si>
  <si>
    <t>Duy Anh</t>
  </si>
  <si>
    <t>Live icon</t>
  </si>
  <si>
    <t>Duy Anh 18h - 21h 
Pu 20h - 24h</t>
  </si>
  <si>
    <t>Đăng 13h30 - 17h40
Pu 17h - 22h</t>
  </si>
  <si>
    <t>UPPER</t>
  </si>
  <si>
    <t>17h40 - 21h</t>
  </si>
  <si>
    <t>11h - 14h</t>
  </si>
  <si>
    <t>Khoa thích đi 11h - 15h</t>
  </si>
  <si>
    <t xml:space="preserve">14h - 17h </t>
  </si>
  <si>
    <t>Kim Nhã 17h</t>
  </si>
  <si>
    <t xml:space="preserve">  TUẦN 3</t>
  </si>
  <si>
    <t>Pu met 7</t>
  </si>
  <si>
    <t>Đăng 14h - 18h</t>
  </si>
  <si>
    <t xml:space="preserve">  TUẦN 4</t>
  </si>
  <si>
    <t>LUCAS live mega</t>
  </si>
  <si>
    <t>17h - 19h</t>
  </si>
  <si>
    <t>19h - 21h</t>
  </si>
  <si>
    <t>Diệp Lê</t>
  </si>
  <si>
    <t>TTS</t>
  </si>
  <si>
    <t>10h - 13h</t>
  </si>
  <si>
    <t xml:space="preserve">  TUẦN 5</t>
  </si>
  <si>
    <t>Đăng 1h - 4h</t>
  </si>
  <si>
    <t>Không có KOL</t>
  </si>
  <si>
    <t>Gia Hân off</t>
  </si>
  <si>
    <t>Duy Anh 6h - 9h  
Pu Phạm 18h - 21h</t>
  </si>
  <si>
    <t xml:space="preserve">T7 </t>
  </si>
  <si>
    <t xml:space="preserve">10/10 + 11/10 </t>
  </si>
  <si>
    <t xml:space="preserve">TIKTOK 30 TIẾNG </t>
  </si>
  <si>
    <t>1h - 5h</t>
  </si>
  <si>
    <t xml:space="preserve">5h - 8h </t>
  </si>
  <si>
    <t>8h - 11h</t>
  </si>
  <si>
    <t>11h - 18h</t>
  </si>
  <si>
    <t>Tâm An 11h - 15h 
KChang 15h - 17h</t>
  </si>
  <si>
    <t>18h - 24h</t>
  </si>
  <si>
    <t>KChang + Lucas off sau 36 tiiếng</t>
  </si>
  <si>
    <t>Nhật Hào 10h30 - 14h30</t>
  </si>
  <si>
    <t>Lucas off sau mega</t>
  </si>
  <si>
    <t xml:space="preserve">Pu Phạm 20h - 24h </t>
  </si>
  <si>
    <t>Đăng 13h - 17h</t>
  </si>
  <si>
    <t>GH off k lương</t>
  </si>
  <si>
    <t>L5</t>
  </si>
  <si>
    <t xml:space="preserve">KChang + Lucas live mega </t>
  </si>
  <si>
    <t>KChang + Lucas off sau mega</t>
  </si>
  <si>
    <t>Trúc Giang</t>
  </si>
  <si>
    <t xml:space="preserve">Lucas live mega </t>
  </si>
  <si>
    <t>18h - 22h30</t>
  </si>
  <si>
    <t>22h30 - 25h</t>
  </si>
  <si>
    <t>Anh Thư ( host ngoài)</t>
  </si>
  <si>
    <t xml:space="preserve">lucas live mega </t>
  </si>
  <si>
    <t>Dương Thanh Vàng 18h30 - 1h
Pu Phạm 19h - 1h</t>
  </si>
  <si>
    <t xml:space="preserve">lucas off sau mega </t>
  </si>
  <si>
    <t>Lucas off bù mega 20/10</t>
  </si>
  <si>
    <t>21h - 21h30</t>
  </si>
  <si>
    <t>21h30 - 25h</t>
  </si>
  <si>
    <t>18h -21h</t>
  </si>
  <si>
    <t>BẢNG KÊ CHI PHÍ  HOST FREELANCE THÁNG 10</t>
  </si>
  <si>
    <t xml:space="preserve">TÊN </t>
  </si>
  <si>
    <t xml:space="preserve">KHUNG LIVE </t>
  </si>
  <si>
    <t xml:space="preserve">CAST 1H </t>
  </si>
  <si>
    <t xml:space="preserve">THÀNH TIỀN </t>
  </si>
  <si>
    <t>TỔNG SỐ TIỀN</t>
  </si>
  <si>
    <t xml:space="preserve">Anh Thư </t>
  </si>
  <si>
    <t>Hải Đăng ( nhân viên trong cty)</t>
  </si>
  <si>
    <t xml:space="preserve">13h - 17h </t>
  </si>
  <si>
    <t xml:space="preserve">22h - 23h </t>
  </si>
  <si>
    <t>NGƯỜI LÀM ĐƠN DUYỆT</t>
  </si>
  <si>
    <t>KẾ TOÁN DUYỆT</t>
  </si>
  <si>
    <t>COO DUYỆT</t>
  </si>
  <si>
    <t xml:space="preserve">  TUẦN 1</t>
  </si>
  <si>
    <t>Khoa thích đi</t>
  </si>
  <si>
    <t>Hải Đăng 14h20 - 18h20</t>
  </si>
  <si>
    <t>Bảo Ngân</t>
  </si>
  <si>
    <t>Thanh Trang</t>
  </si>
  <si>
    <t>Hải Đăng 15h - 18h</t>
  </si>
  <si>
    <t>Lucas, KChang off đi sự kiện</t>
  </si>
  <si>
    <t>Yến live test 13h - 14h</t>
  </si>
  <si>
    <t>FASHION</t>
  </si>
  <si>
    <t>FMCG</t>
  </si>
  <si>
    <t>19h - 23h</t>
  </si>
  <si>
    <t>Tiktok</t>
  </si>
  <si>
    <t>Lucas off phép năm</t>
  </si>
  <si>
    <t>Duy Anh 18h - 24h30 + Pu Phạm 20h - 24h30</t>
  </si>
  <si>
    <t>Tú Quyên live test 11h - 12h</t>
  </si>
  <si>
    <t>ViVi live test từ 11h - 12h</t>
  </si>
  <si>
    <t>Doãn Thương live test 12h - 13h</t>
  </si>
  <si>
    <t>KChang + Lucas off bù ngày 3/11 vào 18/11</t>
  </si>
  <si>
    <t>Thiên Bảo live test 15h - 16h</t>
  </si>
  <si>
    <t>Sara live test 16h - 17h; Lê Nga live test 17h - 18h</t>
  </si>
  <si>
    <t>Lucas live mega</t>
  </si>
  <si>
    <t>Diễm Châu</t>
  </si>
  <si>
    <t>Kim Ngân live test 11h - 12h</t>
  </si>
  <si>
    <t>Lucas off bù 3/11 đi obagi</t>
  </si>
  <si>
    <t>Cá 22h - 24h</t>
  </si>
  <si>
    <t>10h - 12h15</t>
  </si>
  <si>
    <t>12h15 - 18h</t>
  </si>
  <si>
    <t>Lucas 21h - 22h</t>
  </si>
  <si>
    <t>22h - 23h</t>
  </si>
  <si>
    <t>Kéo xuống mega từ 11h30 - 3h sáng</t>
  </si>
  <si>
    <t>KChang off bù 3/11 đi obagi</t>
  </si>
  <si>
    <t>Hải Đăng 15h- 18h</t>
  </si>
  <si>
    <t>Sani</t>
  </si>
  <si>
    <t>Vi Vi</t>
  </si>
  <si>
    <t>Lucas off bù 26 đi quay</t>
  </si>
  <si>
    <t>Lucas đi quay teaser</t>
  </si>
  <si>
    <t>Bảo Tâm</t>
  </si>
  <si>
    <t>Lucas off bù mega</t>
  </si>
  <si>
    <t>KChang off bù mega</t>
  </si>
  <si>
    <t>BẢNG KÊ CHI PHÍ  HOST FREELANCE THÁNG 11</t>
  </si>
  <si>
    <t xml:space="preserve">22h - 24h </t>
  </si>
  <si>
    <t>Thiên Bảo ( Bảo Tâm)</t>
  </si>
  <si>
    <t xml:space="preserve">12h15 - 18h </t>
  </si>
  <si>
    <t>ViVi</t>
  </si>
  <si>
    <t>14h20 - 18h20</t>
  </si>
  <si>
    <t>10h15 - 12h15</t>
  </si>
  <si>
    <t>NGƯỜI LẬP BẢNG KÊ</t>
  </si>
  <si>
    <t xml:space="preserve">KẾ TOÁN KIỂM TRA </t>
  </si>
  <si>
    <t xml:space="preserve">Lucas off tuần
</t>
  </si>
  <si>
    <t>KChang, Lucas quay phim</t>
  </si>
  <si>
    <t>Lucas, KChang đi học vs a Get</t>
  </si>
  <si>
    <t>Lucas off phép</t>
  </si>
  <si>
    <t>KChang, Lucas live mega</t>
  </si>
  <si>
    <t>00h - 4h</t>
  </si>
  <si>
    <t>Kéo phiên phát sinh</t>
  </si>
  <si>
    <t>4h - 8h</t>
  </si>
  <si>
    <t>Khoa Thích Đi</t>
  </si>
  <si>
    <t>Tâm Vy 22h30 - 24h</t>
  </si>
  <si>
    <t>Nimie</t>
  </si>
  <si>
    <t>TIKTOK</t>
  </si>
  <si>
    <t xml:space="preserve">UPPER </t>
  </si>
  <si>
    <t>Lucas off từ 25 - 31/12 bù các phiên mega đã xin c ÁI</t>
  </si>
  <si>
    <t>KChang off bù ngày 24/12</t>
  </si>
  <si>
    <t>KChang off từ 29 - 31/12 đã xin c Ái ( off bù phiên 9/12, 14/12, phiên phát sinh 15-16/12)</t>
  </si>
  <si>
    <t>Lucas off tuần</t>
  </si>
  <si>
    <t>KChang off tuần</t>
  </si>
  <si>
    <t>BẢNG KÊ CHI PHÍ  HOST FREELANCE THÁNG 12</t>
  </si>
  <si>
    <t>Henry ( Văn Huyền)</t>
  </si>
  <si>
    <t>00h - 04h</t>
  </si>
  <si>
    <t>13h -- 17h</t>
  </si>
  <si>
    <t>22h - 24h</t>
  </si>
  <si>
    <t>Cá (Thanh Hồng)</t>
  </si>
  <si>
    <t xml:space="preserve">18h - 25h </t>
  </si>
  <si>
    <t>20h30 - 24h15</t>
  </si>
  <si>
    <t>ViVi ( Tường Vi)</t>
  </si>
  <si>
    <t>TỔNG CỘNG</t>
  </si>
  <si>
    <t>Bảo Tâm 22h - 24h</t>
  </si>
  <si>
    <t>Lucas đi quay</t>
  </si>
  <si>
    <t>Kchang live mega</t>
  </si>
  <si>
    <t>KChang off sau mega</t>
  </si>
  <si>
    <t>Niemie</t>
  </si>
  <si>
    <t xml:space="preserve">Lucas xin off do đau bụng </t>
  </si>
  <si>
    <t>14h - 20h</t>
  </si>
  <si>
    <t>Khải</t>
  </si>
  <si>
    <t>Thái độ k ổn</t>
  </si>
  <si>
    <t>Quỳnh</t>
  </si>
  <si>
    <t xml:space="preserve">T4 + T5 </t>
  </si>
  <si>
    <t>01h - 05h</t>
  </si>
  <si>
    <t>Phiên standby</t>
  </si>
  <si>
    <t>5h - 8h</t>
  </si>
  <si>
    <t>Thanh Đẹp</t>
  </si>
  <si>
    <t>Như</t>
  </si>
  <si>
    <t>GIÁ HOST THEO GIỜ</t>
  </si>
  <si>
    <t>GIÁ HOST</t>
  </si>
  <si>
    <t>GMV ĐẦU GIỞ LIVE</t>
  </si>
  <si>
    <t>GMV CUỐI GIỜ LIVE</t>
  </si>
  <si>
    <t>PHIÊN</t>
  </si>
  <si>
    <t>150K/H</t>
  </si>
  <si>
    <t xml:space="preserve">Pu Phạm </t>
  </si>
  <si>
    <t>200K/H</t>
  </si>
  <si>
    <t>Nghi Giao</t>
  </si>
  <si>
    <t>200k/H</t>
  </si>
  <si>
    <t>150k/h</t>
  </si>
  <si>
    <t>10h - 11h</t>
  </si>
  <si>
    <t>130k/h</t>
  </si>
  <si>
    <t>300k/H</t>
  </si>
  <si>
    <t>200k/h</t>
  </si>
  <si>
    <t>GĐ Thảo Vi</t>
  </si>
  <si>
    <t>300K/H</t>
  </si>
  <si>
    <t>Masslive</t>
  </si>
  <si>
    <t>KChang off bù 24/1</t>
  </si>
  <si>
    <t xml:space="preserve">THỜI GIAN LIVE </t>
  </si>
  <si>
    <t>THÔNG TIN HOST</t>
  </si>
  <si>
    <t>THÔNG TIN PHIÊN LIVE</t>
  </si>
  <si>
    <t xml:space="preserve">CHI PHÍ </t>
  </si>
  <si>
    <t>GMV</t>
  </si>
  <si>
    <t>HÌNH HOST</t>
  </si>
  <si>
    <t>14h - 16h</t>
  </si>
  <si>
    <t>https://drive.google.com/file/d/1p3RuCa2cmoTS2uBE5xokzwaNvAr-daXt/view?usp=drive_link</t>
  </si>
  <si>
    <t xml:space="preserve">16h - 18h </t>
  </si>
  <si>
    <t>Thành Danh</t>
  </si>
  <si>
    <t>https://drive.google.com/file/d/170emWDW2imNw4WLAAujTQD9xXycxULOV/view?usp=drive_link</t>
  </si>
  <si>
    <t>Kim Anh</t>
  </si>
  <si>
    <t>Kim Yến</t>
  </si>
  <si>
    <t>https://drive.google.com/file/d/1qHXuDx2HMkby4nuaAvmfLyW5w3Ub0lTw/view?usp=drive_link</t>
  </si>
  <si>
    <t>Đức</t>
  </si>
  <si>
    <t>14h - 19h30</t>
  </si>
  <si>
    <t>https://drive.google.com/file/d/1ijU-CblymU342DuUBmtQbtv6VpNqETmy/view?usp=drive_link</t>
  </si>
  <si>
    <t>19h30 - 25h</t>
  </si>
  <si>
    <t>https://drive.google.com/file/d/1sVfLGyEiPjqQZ8Dk_guSkLXQraYdQGRI/view?usp=drive_link</t>
  </si>
  <si>
    <t>Như Phương</t>
  </si>
  <si>
    <t>https://drive.google.com/file/d/1_rzwY5CDNjZF01oRPvjj7x73VlUAtFL0/view?usp=drive_link</t>
  </si>
  <si>
    <t>Gia Đình Thảo Vi</t>
  </si>
  <si>
    <t>https://drive.google.com/file/d/15X-c7DQEDFcVhEB1ANhavJqFIt1SK5tD/view?usp=drive_link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</si>
</sst>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"/>
    <numFmt numFmtId="165" formatCode="m/d/yyyy"/>
    <numFmt numFmtId="166" formatCode="0.000"/>
    <numFmt numFmtId="167" formatCode="#,##0.000"/>
    <numFmt numFmtId="168" formatCode="d.m"/>
    <numFmt numFmtId="169" formatCode="d/m/yyyy"/>
    <numFmt numFmtId="170" formatCode="dd/MM/yyyy"/>
    <numFmt numFmtId="171" formatCode="m/d"/>
    <numFmt numFmtId="172" formatCode="0.0000"/>
  </numFmts>
  <fonts count="41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2.0"/>
      <color theme="1"/>
      <name val="Arial"/>
    </font>
    <font>
      <b/>
      <sz val="15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2.0"/>
      <color rgb="FFFF0000"/>
      <name val="Arial"/>
    </font>
    <font/>
    <font>
      <b/>
      <sz val="11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sz val="11.0"/>
      <color rgb="FFFF0000"/>
      <name val="Arial"/>
    </font>
    <font>
      <sz val="11.0"/>
      <color rgb="FF0000FF"/>
      <name val="Arial"/>
    </font>
    <font>
      <b/>
      <color theme="1"/>
      <name val="Arial"/>
      <scheme val="minor"/>
    </font>
    <font>
      <sz val="12.0"/>
      <color rgb="FF0000FF"/>
      <name val="Arial"/>
    </font>
    <font>
      <b/>
      <sz val="10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rgb="FF215A6C"/>
      <name val="Arial"/>
    </font>
    <font>
      <b/>
      <sz val="12.0"/>
      <color rgb="FFFF00FF"/>
      <name val="Arial"/>
    </font>
    <font>
      <b/>
      <sz val="12.0"/>
      <color rgb="FF0000FF"/>
      <name val="Arial"/>
    </font>
    <font>
      <color rgb="FF0000FF"/>
      <name val="Arial"/>
    </font>
    <font>
      <color rgb="FFFF0000"/>
      <name val="Arial"/>
    </font>
    <font>
      <sz val="12.0"/>
      <color rgb="FFFF0000"/>
      <name val="Arial"/>
      <scheme val="minor"/>
    </font>
    <font>
      <sz val="12.0"/>
      <color rgb="FF0000FF"/>
      <name val="Arial"/>
      <scheme val="minor"/>
    </font>
    <font>
      <sz val="12.0"/>
      <color rgb="FFFF00FF"/>
      <name val="Arial"/>
    </font>
    <font>
      <b/>
      <sz val="15.0"/>
      <color theme="1"/>
      <name val="Arial"/>
      <scheme val="minor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rgb="FF351C75"/>
      <name val="Arial"/>
    </font>
    <font>
      <sz val="11.0"/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D0D0"/>
        <bgColor rgb="FFD0D0D0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2CEEF"/>
        <bgColor rgb="FFF2CEEF"/>
      </patternFill>
    </fill>
    <fill>
      <patternFill patternType="solid">
        <fgColor rgb="FF6FE8E8"/>
        <bgColor rgb="FF6FE8E8"/>
      </patternFill>
    </fill>
    <fill>
      <patternFill patternType="solid">
        <fgColor rgb="FFFFF2CC"/>
        <bgColor rgb="FFFFF2CC"/>
      </patternFill>
    </fill>
    <fill>
      <patternFill patternType="solid">
        <fgColor rgb="FFC1F0C8"/>
        <bgColor rgb="FFC1F0C8"/>
      </patternFill>
    </fill>
    <fill>
      <patternFill patternType="solid">
        <fgColor rgb="FF38761D"/>
        <bgColor rgb="FF38761D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7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7" fillId="0" fontId="5" numFmtId="164" xfId="0" applyAlignment="1" applyBorder="1" applyFont="1" applyNumberForma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shrinkToFit="0" wrapText="1"/>
    </xf>
    <xf borderId="9" fillId="0" fontId="6" numFmtId="165" xfId="0" applyAlignment="1" applyBorder="1" applyFont="1" applyNumberFormat="1">
      <alignment horizontal="center"/>
    </xf>
    <xf borderId="10" fillId="5" fontId="6" numFmtId="0" xfId="0" applyAlignment="1" applyBorder="1" applyFill="1" applyFont="1">
      <alignment horizontal="center" shrinkToFit="0" wrapText="1"/>
    </xf>
    <xf borderId="7" fillId="5" fontId="2" numFmtId="0" xfId="0" applyAlignment="1" applyBorder="1" applyFont="1">
      <alignment horizontal="center"/>
    </xf>
    <xf borderId="7" fillId="5" fontId="2" numFmtId="0" xfId="0" applyAlignment="1" applyBorder="1" applyFont="1">
      <alignment horizontal="center" vertical="bottom"/>
    </xf>
    <xf borderId="7" fillId="5" fontId="6" numFmtId="0" xfId="0" applyAlignment="1" applyBorder="1" applyFont="1">
      <alignment horizontal="center"/>
    </xf>
    <xf borderId="7" fillId="0" fontId="7" numFmtId="0" xfId="0" applyAlignment="1" applyBorder="1" applyFont="1">
      <alignment horizontal="center" readingOrder="0"/>
    </xf>
    <xf borderId="8" fillId="0" fontId="4" numFmtId="0" xfId="0" applyAlignment="1" applyBorder="1" applyFont="1">
      <alignment vertical="bottom"/>
    </xf>
    <xf borderId="11" fillId="0" fontId="4" numFmtId="166" xfId="0" applyAlignment="1" applyBorder="1" applyFont="1" applyNumberFormat="1">
      <alignment readingOrder="0" vertical="bottom"/>
    </xf>
    <xf borderId="12" fillId="0" fontId="4" numFmtId="166" xfId="0" applyAlignment="1" applyBorder="1" applyFont="1" applyNumberFormat="1">
      <alignment readingOrder="0" vertical="bottom"/>
    </xf>
    <xf borderId="13" fillId="0" fontId="4" numFmtId="166" xfId="0" applyAlignment="1" applyBorder="1" applyFont="1" applyNumberFormat="1">
      <alignment readingOrder="0" vertical="bottom"/>
    </xf>
    <xf borderId="7" fillId="0" fontId="4" numFmtId="166" xfId="0" applyAlignment="1" applyBorder="1" applyFont="1" applyNumberFormat="1">
      <alignment readingOrder="0" vertical="bottom"/>
    </xf>
    <xf borderId="14" fillId="0" fontId="4" numFmtId="166" xfId="0" applyAlignment="1" applyBorder="1" applyFont="1" applyNumberFormat="1">
      <alignment readingOrder="0" vertical="bottom"/>
    </xf>
    <xf borderId="15" fillId="0" fontId="2" numFmtId="167" xfId="0" applyAlignment="1" applyBorder="1" applyFont="1" applyNumberFormat="1">
      <alignment horizontal="right" vertical="center"/>
    </xf>
    <xf borderId="16" fillId="0" fontId="8" numFmtId="0" xfId="0" applyBorder="1" applyFont="1"/>
    <xf borderId="17" fillId="0" fontId="8" numFmtId="0" xfId="0" applyBorder="1" applyFont="1"/>
    <xf borderId="18" fillId="0" fontId="5" numFmtId="164" xfId="0" applyAlignment="1" applyBorder="1" applyFont="1" applyNumberFormat="1">
      <alignment horizontal="center" readingOrder="0" vertical="center"/>
    </xf>
    <xf borderId="18" fillId="0" fontId="5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8" numFmtId="0" xfId="0" applyBorder="1" applyFont="1"/>
    <xf borderId="21" fillId="6" fontId="6" numFmtId="0" xfId="0" applyAlignment="1" applyBorder="1" applyFill="1" applyFont="1">
      <alignment horizontal="center" shrinkToFit="0" wrapText="1"/>
    </xf>
    <xf borderId="18" fillId="6" fontId="2" numFmtId="0" xfId="0" applyAlignment="1" applyBorder="1" applyFont="1">
      <alignment horizontal="center"/>
    </xf>
    <xf borderId="18" fillId="6" fontId="4" numFmtId="0" xfId="0" applyBorder="1" applyFont="1"/>
    <xf borderId="18" fillId="6" fontId="6" numFmtId="168" xfId="0" applyAlignment="1" applyBorder="1" applyFont="1" applyNumberFormat="1">
      <alignment horizontal="center" readingOrder="0"/>
    </xf>
    <xf borderId="18" fillId="0" fontId="7" numFmtId="0" xfId="0" applyAlignment="1" applyBorder="1" applyFont="1">
      <alignment horizontal="center" readingOrder="0"/>
    </xf>
    <xf borderId="19" fillId="0" fontId="4" numFmtId="0" xfId="0" applyAlignment="1" applyBorder="1" applyFont="1">
      <alignment vertical="bottom"/>
    </xf>
    <xf borderId="22" fillId="0" fontId="4" numFmtId="166" xfId="0" applyAlignment="1" applyBorder="1" applyFont="1" applyNumberFormat="1">
      <alignment readingOrder="0" vertical="bottom"/>
    </xf>
    <xf borderId="23" fillId="0" fontId="4" numFmtId="166" xfId="0" applyAlignment="1" applyBorder="1" applyFont="1" applyNumberFormat="1">
      <alignment readingOrder="0" vertical="bottom"/>
    </xf>
    <xf borderId="24" fillId="0" fontId="4" numFmtId="166" xfId="0" applyAlignment="1" applyBorder="1" applyFont="1" applyNumberFormat="1">
      <alignment readingOrder="0" vertical="bottom"/>
    </xf>
    <xf borderId="18" fillId="0" fontId="4" numFmtId="166" xfId="0" applyAlignment="1" applyBorder="1" applyFont="1" applyNumberFormat="1">
      <alignment readingOrder="0" vertical="bottom"/>
    </xf>
    <xf borderId="25" fillId="0" fontId="4" numFmtId="166" xfId="0" applyAlignment="1" applyBorder="1" applyFont="1" applyNumberFormat="1">
      <alignment readingOrder="0" vertical="bottom"/>
    </xf>
    <xf borderId="26" fillId="0" fontId="8" numFmtId="0" xfId="0" applyBorder="1" applyFont="1"/>
    <xf borderId="21" fillId="7" fontId="6" numFmtId="0" xfId="0" applyAlignment="1" applyBorder="1" applyFill="1" applyFont="1">
      <alignment horizontal="center" shrinkToFit="0" wrapText="1"/>
    </xf>
    <xf borderId="18" fillId="7" fontId="2" numFmtId="0" xfId="0" applyAlignment="1" applyBorder="1" applyFont="1">
      <alignment horizontal="center" vertical="bottom"/>
    </xf>
    <xf borderId="18" fillId="7" fontId="4" numFmtId="0" xfId="0" applyAlignment="1" applyBorder="1" applyFont="1">
      <alignment vertical="bottom"/>
    </xf>
    <xf borderId="18" fillId="7" fontId="6" numFmtId="168" xfId="0" applyAlignment="1" applyBorder="1" applyFont="1" applyNumberFormat="1">
      <alignment horizontal="center" readingOrder="0"/>
    </xf>
    <xf borderId="27" fillId="0" fontId="8" numFmtId="0" xfId="0" applyBorder="1" applyFont="1"/>
    <xf borderId="28" fillId="0" fontId="8" numFmtId="0" xfId="0" applyBorder="1" applyFont="1"/>
    <xf borderId="29" fillId="8" fontId="6" numFmtId="0" xfId="0" applyAlignment="1" applyBorder="1" applyFill="1" applyFont="1">
      <alignment horizontal="center" shrinkToFit="0" wrapText="1"/>
    </xf>
    <xf borderId="30" fillId="8" fontId="2" numFmtId="0" xfId="0" applyAlignment="1" applyBorder="1" applyFont="1">
      <alignment horizontal="center"/>
    </xf>
    <xf borderId="30" fillId="8" fontId="4" numFmtId="0" xfId="0" applyAlignment="1" applyBorder="1" applyFont="1">
      <alignment vertical="bottom"/>
    </xf>
    <xf borderId="30" fillId="8" fontId="6" numFmtId="0" xfId="0" applyAlignment="1" applyBorder="1" applyFont="1">
      <alignment horizontal="center"/>
    </xf>
    <xf borderId="30" fillId="0" fontId="7" numFmtId="0" xfId="0" applyAlignment="1" applyBorder="1" applyFont="1">
      <alignment horizontal="center" readingOrder="0"/>
    </xf>
    <xf borderId="31" fillId="0" fontId="4" numFmtId="0" xfId="0" applyAlignment="1" applyBorder="1" applyFont="1">
      <alignment vertical="bottom"/>
    </xf>
    <xf borderId="32" fillId="0" fontId="4" numFmtId="166" xfId="0" applyAlignment="1" applyBorder="1" applyFont="1" applyNumberFormat="1">
      <alignment readingOrder="0" vertical="bottom"/>
    </xf>
    <xf borderId="33" fillId="0" fontId="4" numFmtId="166" xfId="0" applyAlignment="1" applyBorder="1" applyFont="1" applyNumberFormat="1">
      <alignment readingOrder="0" vertical="bottom"/>
    </xf>
    <xf borderId="34" fillId="0" fontId="4" numFmtId="166" xfId="0" applyAlignment="1" applyBorder="1" applyFont="1" applyNumberFormat="1">
      <alignment readingOrder="0" vertical="bottom"/>
    </xf>
    <xf borderId="30" fillId="0" fontId="4" numFmtId="166" xfId="0" applyAlignment="1" applyBorder="1" applyFont="1" applyNumberFormat="1">
      <alignment readingOrder="0" vertical="bottom"/>
    </xf>
    <xf borderId="35" fillId="0" fontId="4" numFmtId="166" xfId="0" applyAlignment="1" applyBorder="1" applyFont="1" applyNumberFormat="1">
      <alignment readingOrder="0" vertical="bottom"/>
    </xf>
    <xf borderId="36" fillId="0" fontId="8" numFmtId="0" xfId="0" applyBorder="1" applyFont="1"/>
    <xf borderId="13" fillId="5" fontId="2" numFmtId="0" xfId="0" applyAlignment="1" applyBorder="1" applyFont="1">
      <alignment horizontal="center"/>
    </xf>
    <xf borderId="7" fillId="5" fontId="6" numFmtId="0" xfId="0" applyAlignment="1" applyBorder="1" applyFont="1">
      <alignment horizontal="center" readingOrder="0"/>
    </xf>
    <xf borderId="8" fillId="3" fontId="4" numFmtId="0" xfId="0" applyBorder="1" applyFont="1"/>
    <xf borderId="21" fillId="9" fontId="6" numFmtId="0" xfId="0" applyAlignment="1" applyBorder="1" applyFill="1" applyFont="1">
      <alignment horizontal="center" shrinkToFit="0" wrapText="1"/>
    </xf>
    <xf borderId="24" fillId="9" fontId="2" numFmtId="0" xfId="0" applyAlignment="1" applyBorder="1" applyFont="1">
      <alignment horizontal="center"/>
    </xf>
    <xf borderId="18" fillId="9" fontId="4" numFmtId="0" xfId="0" applyBorder="1" applyFont="1"/>
    <xf borderId="18" fillId="9" fontId="6" numFmtId="0" xfId="0" applyAlignment="1" applyBorder="1" applyFont="1">
      <alignment horizontal="center"/>
    </xf>
    <xf borderId="19" fillId="3" fontId="4" numFmtId="0" xfId="0" applyBorder="1" applyFont="1"/>
    <xf borderId="18" fillId="6" fontId="9" numFmtId="0" xfId="0" applyAlignment="1" applyBorder="1" applyFont="1">
      <alignment horizontal="center" vertical="bottom"/>
    </xf>
    <xf borderId="18" fillId="6" fontId="6" numFmtId="0" xfId="0" applyAlignment="1" applyBorder="1" applyFont="1">
      <alignment horizontal="center"/>
    </xf>
    <xf borderId="37" fillId="0" fontId="8" numFmtId="0" xfId="0" applyBorder="1" applyFont="1"/>
    <xf borderId="30" fillId="0" fontId="5" numFmtId="164" xfId="0" applyAlignment="1" applyBorder="1" applyFont="1" applyNumberFormat="1">
      <alignment horizontal="center" readingOrder="0" vertical="center"/>
    </xf>
    <xf borderId="30" fillId="0" fontId="5" numFmtId="0" xfId="0" applyAlignment="1" applyBorder="1" applyFont="1">
      <alignment horizontal="center" readingOrder="0" vertical="center"/>
    </xf>
    <xf borderId="30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29" fillId="7" fontId="6" numFmtId="0" xfId="0" applyAlignment="1" applyBorder="1" applyFont="1">
      <alignment horizontal="center" shrinkToFit="0" wrapText="1"/>
    </xf>
    <xf borderId="37" fillId="7" fontId="9" numFmtId="0" xfId="0" applyAlignment="1" applyBorder="1" applyFont="1">
      <alignment horizontal="center" shrinkToFit="0" vertical="bottom" wrapText="1"/>
    </xf>
    <xf borderId="30" fillId="7" fontId="4" numFmtId="0" xfId="0" applyBorder="1" applyFont="1"/>
    <xf borderId="30" fillId="7" fontId="6" numFmtId="0" xfId="0" applyAlignment="1" applyBorder="1" applyFont="1">
      <alignment horizontal="center" readingOrder="0"/>
    </xf>
    <xf borderId="31" fillId="3" fontId="4" numFmtId="0" xfId="0" applyBorder="1" applyFont="1"/>
    <xf borderId="13" fillId="3" fontId="4" numFmtId="167" xfId="0" applyAlignment="1" applyBorder="1" applyFont="1" applyNumberFormat="1">
      <alignment horizontal="right" readingOrder="0" vertical="bottom"/>
    </xf>
    <xf borderId="38" fillId="3" fontId="10" numFmtId="167" xfId="0" applyAlignment="1" applyBorder="1" applyFont="1" applyNumberFormat="1">
      <alignment horizontal="center" readingOrder="0" vertical="center"/>
    </xf>
    <xf borderId="10" fillId="6" fontId="6" numFmtId="0" xfId="0" applyAlignment="1" applyBorder="1" applyFont="1">
      <alignment horizontal="center" shrinkToFit="0" wrapText="1"/>
    </xf>
    <xf borderId="13" fillId="6" fontId="2" numFmtId="0" xfId="0" applyAlignment="1" applyBorder="1" applyFont="1">
      <alignment horizontal="center"/>
    </xf>
    <xf borderId="7" fillId="6" fontId="2" numFmtId="0" xfId="0" applyAlignment="1" applyBorder="1" applyFont="1">
      <alignment horizontal="center" readingOrder="0" shrinkToFit="0" wrapText="1"/>
    </xf>
    <xf borderId="7" fillId="6" fontId="6" numFmtId="0" xfId="0" applyAlignment="1" applyBorder="1" applyFont="1">
      <alignment horizontal="center"/>
    </xf>
    <xf borderId="7" fillId="0" fontId="11" numFmtId="166" xfId="0" applyAlignment="1" applyBorder="1" applyFont="1" applyNumberFormat="1">
      <alignment readingOrder="0" vertical="bottom"/>
    </xf>
    <xf borderId="24" fillId="3" fontId="4" numFmtId="167" xfId="0" applyAlignment="1" applyBorder="1" applyFont="1" applyNumberFormat="1">
      <alignment horizontal="right" readingOrder="0" vertical="bottom"/>
    </xf>
    <xf borderId="39" fillId="0" fontId="8" numFmtId="0" xfId="0" applyBorder="1" applyFont="1"/>
    <xf borderId="21" fillId="10" fontId="6" numFmtId="0" xfId="0" applyAlignment="1" applyBorder="1" applyFill="1" applyFont="1">
      <alignment horizontal="center" shrinkToFit="0" wrapText="1"/>
    </xf>
    <xf borderId="24" fillId="10" fontId="2" numFmtId="0" xfId="0" applyAlignment="1" applyBorder="1" applyFont="1">
      <alignment horizontal="center"/>
    </xf>
    <xf borderId="18" fillId="10" fontId="4" numFmtId="0" xfId="0" applyBorder="1" applyFont="1"/>
    <xf borderId="18" fillId="10" fontId="6" numFmtId="0" xfId="0" applyAlignment="1" applyBorder="1" applyFont="1">
      <alignment horizontal="center"/>
    </xf>
    <xf borderId="18" fillId="9" fontId="9" numFmtId="0" xfId="0" applyAlignment="1" applyBorder="1" applyFont="1">
      <alignment horizontal="center" vertical="bottom"/>
    </xf>
    <xf borderId="30" fillId="7" fontId="6" numFmtId="0" xfId="0" applyAlignment="1" applyBorder="1" applyFont="1">
      <alignment horizontal="center"/>
    </xf>
    <xf borderId="1" fillId="3" fontId="12" numFmtId="0" xfId="0" applyAlignment="1" applyBorder="1" applyFont="1">
      <alignment horizontal="center" shrinkToFit="0" vertical="center" wrapText="1"/>
    </xf>
    <xf borderId="40" fillId="0" fontId="13" numFmtId="0" xfId="0" applyAlignment="1" applyBorder="1" applyFont="1">
      <alignment horizontal="center" readingOrder="0" vertical="center"/>
    </xf>
    <xf borderId="40" fillId="0" fontId="8" numFmtId="0" xfId="0" applyBorder="1" applyFont="1"/>
    <xf borderId="38" fillId="0" fontId="8" numFmtId="0" xfId="0" applyBorder="1" applyFont="1"/>
    <xf borderId="41" fillId="0" fontId="8" numFmtId="0" xfId="0" applyBorder="1" applyFont="1"/>
    <xf borderId="42" fillId="0" fontId="8" numFmtId="0" xfId="0" applyBorder="1" applyFont="1"/>
    <xf borderId="4" fillId="3" fontId="12" numFmtId="0" xfId="0" applyAlignment="1" applyBorder="1" applyFont="1">
      <alignment horizontal="center" shrinkToFit="0" vertical="center" wrapText="1"/>
    </xf>
    <xf borderId="6" fillId="3" fontId="12" numFmtId="169" xfId="0" applyAlignment="1" applyBorder="1" applyFont="1" applyNumberFormat="1">
      <alignment horizontal="center" readingOrder="0"/>
    </xf>
    <xf borderId="4" fillId="6" fontId="12" numFmtId="0" xfId="0" applyAlignment="1" applyBorder="1" applyFont="1">
      <alignment horizontal="center" readingOrder="0"/>
    </xf>
    <xf borderId="43" fillId="6" fontId="2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readingOrder="0"/>
    </xf>
    <xf borderId="5" fillId="6" fontId="14" numFmtId="0" xfId="0" applyAlignment="1" applyBorder="1" applyFont="1">
      <alignment horizontal="center" readingOrder="0"/>
    </xf>
    <xf borderId="6" fillId="3" fontId="11" numFmtId="0" xfId="0" applyAlignment="1" applyBorder="1" applyFont="1">
      <alignment horizontal="center" readingOrder="0" vertical="center"/>
    </xf>
    <xf borderId="44" fillId="3" fontId="4" numFmtId="0" xfId="0" applyBorder="1" applyFont="1"/>
    <xf borderId="45" fillId="3" fontId="4" numFmtId="0" xfId="0" applyBorder="1" applyFont="1"/>
    <xf borderId="46" fillId="3" fontId="4" numFmtId="0" xfId="0" applyBorder="1" applyFont="1"/>
    <xf borderId="5" fillId="3" fontId="4" numFmtId="0" xfId="0" applyBorder="1" applyFont="1"/>
    <xf borderId="47" fillId="3" fontId="4" numFmtId="0" xfId="0" applyBorder="1" applyFont="1"/>
    <xf borderId="48" fillId="3" fontId="4" numFmtId="0" xfId="0" applyBorder="1" applyFont="1"/>
    <xf borderId="9" fillId="0" fontId="12" numFmtId="169" xfId="0" applyAlignment="1" applyBorder="1" applyFont="1" applyNumberFormat="1">
      <alignment horizontal="center" readingOrder="0" vertical="center"/>
    </xf>
    <xf borderId="10" fillId="5" fontId="12" numFmtId="0" xfId="0" applyAlignment="1" applyBorder="1" applyFont="1">
      <alignment horizontal="center" shrinkToFit="0" wrapText="1"/>
    </xf>
    <xf borderId="7" fillId="5" fontId="2" numFmtId="0" xfId="0" applyAlignment="1" applyBorder="1" applyFont="1">
      <alignment horizontal="center" readingOrder="0" vertical="center"/>
    </xf>
    <xf borderId="7" fillId="5" fontId="2" numFmtId="0" xfId="0" applyAlignment="1" applyBorder="1" applyFont="1">
      <alignment horizontal="center" readingOrder="0"/>
    </xf>
    <xf borderId="7" fillId="5" fontId="6" numFmtId="0" xfId="0" applyAlignment="1" applyBorder="1" applyFont="1">
      <alignment horizontal="center" readingOrder="0" vertical="center"/>
    </xf>
    <xf borderId="7" fillId="5" fontId="14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 vertical="center"/>
    </xf>
    <xf borderId="11" fillId="3" fontId="4" numFmtId="3" xfId="0" applyAlignment="1" applyBorder="1" applyFont="1" applyNumberFormat="1">
      <alignment horizontal="right" vertical="bottom"/>
    </xf>
    <xf borderId="12" fillId="3" fontId="4" numFmtId="3" xfId="0" applyAlignment="1" applyBorder="1" applyFont="1" applyNumberFormat="1">
      <alignment horizontal="right" vertical="bottom"/>
    </xf>
    <xf borderId="13" fillId="3" fontId="4" numFmtId="3" xfId="0" applyAlignment="1" applyBorder="1" applyFont="1" applyNumberFormat="1">
      <alignment horizontal="right" vertical="bottom"/>
    </xf>
    <xf borderId="7" fillId="3" fontId="4" numFmtId="167" xfId="0" applyAlignment="1" applyBorder="1" applyFont="1" applyNumberFormat="1">
      <alignment horizontal="right" readingOrder="0" vertical="bottom"/>
    </xf>
    <xf borderId="14" fillId="3" fontId="4" numFmtId="167" xfId="0" applyAlignment="1" applyBorder="1" applyFont="1" applyNumberFormat="1">
      <alignment horizontal="right" vertical="bottom"/>
    </xf>
    <xf borderId="15" fillId="3" fontId="2" numFmtId="167" xfId="0" applyAlignment="1" applyBorder="1" applyFont="1" applyNumberFormat="1">
      <alignment horizontal="right" vertical="center"/>
    </xf>
    <xf borderId="21" fillId="9" fontId="12" numFmtId="0" xfId="0" applyAlignment="1" applyBorder="1" applyFont="1">
      <alignment horizontal="center" readingOrder="0" shrinkToFit="0" wrapText="1"/>
    </xf>
    <xf borderId="18" fillId="9" fontId="2" numFmtId="0" xfId="0" applyAlignment="1" applyBorder="1" applyFont="1">
      <alignment horizontal="center" readingOrder="0" vertical="center"/>
    </xf>
    <xf borderId="18" fillId="9" fontId="6" numFmtId="0" xfId="0" applyAlignment="1" applyBorder="1" applyFont="1">
      <alignment horizontal="center" readingOrder="0" vertical="center"/>
    </xf>
    <xf borderId="18" fillId="9" fontId="14" numFmtId="0" xfId="0" applyAlignment="1" applyBorder="1" applyFont="1">
      <alignment horizontal="center" readingOrder="0"/>
    </xf>
    <xf borderId="49" fillId="0" fontId="8" numFmtId="0" xfId="0" applyBorder="1" applyFont="1"/>
    <xf borderId="50" fillId="3" fontId="4" numFmtId="167" xfId="0" applyAlignment="1" applyBorder="1" applyFont="1" applyNumberFormat="1">
      <alignment horizontal="right" readingOrder="0" vertical="bottom"/>
    </xf>
    <xf borderId="51" fillId="3" fontId="4" numFmtId="167" xfId="0" applyAlignment="1" applyBorder="1" applyFont="1" applyNumberFormat="1">
      <alignment horizontal="right" readingOrder="0" vertical="bottom"/>
    </xf>
    <xf borderId="18" fillId="3" fontId="4" numFmtId="3" xfId="0" applyAlignment="1" applyBorder="1" applyFont="1" applyNumberFormat="1">
      <alignment horizontal="right" vertical="bottom"/>
    </xf>
    <xf borderId="25" fillId="3" fontId="4" numFmtId="167" xfId="0" applyAlignment="1" applyBorder="1" applyFont="1" applyNumberFormat="1">
      <alignment horizontal="right" vertical="bottom"/>
    </xf>
    <xf borderId="21" fillId="8" fontId="12" numFmtId="0" xfId="0" applyAlignment="1" applyBorder="1" applyFont="1">
      <alignment horizontal="center" readingOrder="0" shrinkToFit="0" wrapText="1"/>
    </xf>
    <xf borderId="18" fillId="8" fontId="2" numFmtId="0" xfId="0" applyAlignment="1" applyBorder="1" applyFont="1">
      <alignment horizontal="center" readingOrder="0" vertical="center"/>
    </xf>
    <xf borderId="18" fillId="8" fontId="6" numFmtId="0" xfId="0" applyAlignment="1" applyBorder="1" applyFont="1">
      <alignment horizontal="center" readingOrder="0" vertical="center"/>
    </xf>
    <xf borderId="18" fillId="8" fontId="14" numFmtId="0" xfId="0" applyAlignment="1" applyBorder="1" applyFont="1">
      <alignment horizontal="center" readingOrder="0"/>
    </xf>
    <xf borderId="18" fillId="3" fontId="11" numFmtId="3" xfId="0" applyAlignment="1" applyBorder="1" applyFont="1" applyNumberFormat="1">
      <alignment horizontal="center" readingOrder="0" vertical="bottom"/>
    </xf>
    <xf borderId="34" fillId="3" fontId="4" numFmtId="167" xfId="0" applyAlignment="1" applyBorder="1" applyFont="1" applyNumberFormat="1">
      <alignment horizontal="right" readingOrder="0" vertical="bottom"/>
    </xf>
    <xf borderId="52" fillId="3" fontId="12" numFmtId="0" xfId="0" applyAlignment="1" applyBorder="1" applyFont="1">
      <alignment horizontal="center" shrinkToFit="0" wrapText="1"/>
    </xf>
    <xf borderId="53" fillId="0" fontId="2" numFmtId="0" xfId="0" applyAlignment="1" applyBorder="1" applyFont="1">
      <alignment horizontal="center" readingOrder="0" vertical="center"/>
    </xf>
    <xf borderId="53" fillId="0" fontId="4" numFmtId="0" xfId="0" applyBorder="1" applyFont="1"/>
    <xf borderId="53" fillId="0" fontId="6" numFmtId="0" xfId="0" applyAlignment="1" applyBorder="1" applyFont="1">
      <alignment horizontal="center" readingOrder="0" vertical="center"/>
    </xf>
    <xf borderId="53" fillId="0" fontId="14" numFmtId="0" xfId="0" applyAlignment="1" applyBorder="1" applyFont="1">
      <alignment horizontal="center" readingOrder="0"/>
    </xf>
    <xf borderId="54" fillId="0" fontId="8" numFmtId="0" xfId="0" applyBorder="1" applyFont="1"/>
    <xf borderId="55" fillId="3" fontId="4" numFmtId="167" xfId="0" applyAlignment="1" applyBorder="1" applyFont="1" applyNumberFormat="1">
      <alignment horizontal="right" readingOrder="0" vertical="bottom"/>
    </xf>
    <xf borderId="39" fillId="3" fontId="4" numFmtId="167" xfId="0" applyAlignment="1" applyBorder="1" applyFont="1" applyNumberFormat="1">
      <alignment horizontal="right" readingOrder="0" vertical="bottom"/>
    </xf>
    <xf borderId="56" fillId="3" fontId="4" numFmtId="167" xfId="0" applyAlignment="1" applyBorder="1" applyFont="1" applyNumberFormat="1">
      <alignment horizontal="right" readingOrder="0" vertical="bottom"/>
    </xf>
    <xf borderId="53" fillId="3" fontId="4" numFmtId="3" xfId="0" applyAlignment="1" applyBorder="1" applyFont="1" applyNumberFormat="1">
      <alignment horizontal="right" vertical="bottom"/>
    </xf>
    <xf borderId="57" fillId="3" fontId="4" numFmtId="167" xfId="0" applyAlignment="1" applyBorder="1" applyFont="1" applyNumberFormat="1">
      <alignment horizontal="right" vertical="bottom"/>
    </xf>
    <xf borderId="58" fillId="0" fontId="8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0" fillId="6" fontId="12" numFmtId="0" xfId="0" applyAlignment="1" applyBorder="1" applyFont="1">
      <alignment horizontal="center"/>
    </xf>
    <xf borderId="7" fillId="6" fontId="2" numFmtId="0" xfId="0" applyAlignment="1" applyBorder="1" applyFont="1">
      <alignment horizontal="center" readingOrder="0" vertical="center"/>
    </xf>
    <xf borderId="7" fillId="6" fontId="2" numFmtId="0" xfId="0" applyAlignment="1" applyBorder="1" applyFont="1">
      <alignment horizontal="center" readingOrder="0"/>
    </xf>
    <xf borderId="7" fillId="6" fontId="6" numFmtId="0" xfId="0" applyAlignment="1" applyBorder="1" applyFont="1">
      <alignment horizontal="center" vertical="center"/>
    </xf>
    <xf borderId="7" fillId="6" fontId="15" numFmtId="0" xfId="0" applyAlignment="1" applyBorder="1" applyFont="1">
      <alignment horizontal="center"/>
    </xf>
    <xf borderId="3" fillId="3" fontId="11" numFmtId="0" xfId="0" applyAlignment="1" applyBorder="1" applyFont="1">
      <alignment vertical="center"/>
    </xf>
    <xf borderId="59" fillId="3" fontId="4" numFmtId="3" xfId="0" applyAlignment="1" applyBorder="1" applyFont="1" applyNumberFormat="1">
      <alignment horizontal="right" vertical="bottom"/>
    </xf>
    <xf borderId="38" fillId="3" fontId="4" numFmtId="3" xfId="0" applyAlignment="1" applyBorder="1" applyFont="1" applyNumberFormat="1">
      <alignment horizontal="right" vertical="bottom"/>
    </xf>
    <xf borderId="7" fillId="3" fontId="4" numFmtId="3" xfId="0" applyAlignment="1" applyBorder="1" applyFont="1" applyNumberFormat="1">
      <alignment horizontal="right" vertical="bottom"/>
    </xf>
    <xf borderId="15" fillId="3" fontId="2" numFmtId="3" xfId="0" applyAlignment="1" applyBorder="1" applyFont="1" applyNumberFormat="1">
      <alignment horizontal="right" vertical="bottom"/>
    </xf>
    <xf borderId="29" fillId="3" fontId="12" numFmtId="0" xfId="0" applyAlignment="1" applyBorder="1" applyFont="1">
      <alignment horizontal="center"/>
    </xf>
    <xf borderId="30" fillId="3" fontId="2" numFmtId="0" xfId="0" applyAlignment="1" applyBorder="1" applyFont="1">
      <alignment horizontal="center" readingOrder="0" vertical="center"/>
    </xf>
    <xf borderId="30" fillId="3" fontId="4" numFmtId="0" xfId="0" applyBorder="1" applyFont="1"/>
    <xf borderId="30" fillId="3" fontId="6" numFmtId="0" xfId="0" applyAlignment="1" applyBorder="1" applyFont="1">
      <alignment horizontal="center" vertical="center"/>
    </xf>
    <xf borderId="30" fillId="3" fontId="15" numFmtId="0" xfId="0" applyAlignment="1" applyBorder="1" applyFont="1">
      <alignment horizontal="center"/>
    </xf>
    <xf borderId="60" fillId="0" fontId="8" numFmtId="0" xfId="0" applyBorder="1" applyFont="1"/>
    <xf borderId="61" fillId="3" fontId="4" numFmtId="3" xfId="0" applyAlignment="1" applyBorder="1" applyFont="1" applyNumberFormat="1">
      <alignment horizontal="right" vertical="bottom"/>
    </xf>
    <xf borderId="42" fillId="3" fontId="4" numFmtId="3" xfId="0" applyAlignment="1" applyBorder="1" applyFont="1" applyNumberFormat="1">
      <alignment horizontal="right" vertical="bottom"/>
    </xf>
    <xf borderId="34" fillId="3" fontId="4" numFmtId="3" xfId="0" applyAlignment="1" applyBorder="1" applyFont="1" applyNumberFormat="1">
      <alignment horizontal="right" vertical="bottom"/>
    </xf>
    <xf borderId="30" fillId="3" fontId="4" numFmtId="3" xfId="0" applyAlignment="1" applyBorder="1" applyFont="1" applyNumberFormat="1">
      <alignment horizontal="right" vertical="bottom"/>
    </xf>
    <xf borderId="35" fillId="3" fontId="4" numFmtId="167" xfId="0" applyAlignment="1" applyBorder="1" applyFont="1" applyNumberFormat="1">
      <alignment horizontal="right" vertical="bottom"/>
    </xf>
    <xf borderId="40" fillId="0" fontId="12" numFmtId="169" xfId="0" applyAlignment="1" applyBorder="1" applyFont="1" applyNumberFormat="1">
      <alignment horizontal="center" readingOrder="0" vertical="center"/>
    </xf>
    <xf borderId="10" fillId="5" fontId="12" numFmtId="0" xfId="0" applyAlignment="1" applyBorder="1" applyFont="1">
      <alignment horizontal="center" readingOrder="0" vertical="center"/>
    </xf>
    <xf borderId="7" fillId="5" fontId="2" numFmtId="0" xfId="0" applyAlignment="1" applyBorder="1" applyFont="1">
      <alignment horizontal="center" readingOrder="0" shrinkToFit="0" wrapText="1"/>
    </xf>
    <xf borderId="3" fillId="0" fontId="9" numFmtId="0" xfId="0" applyAlignment="1" applyBorder="1" applyFont="1">
      <alignment horizontal="center" readingOrder="0" vertical="center"/>
    </xf>
    <xf borderId="21" fillId="6" fontId="12" numFmtId="0" xfId="0" applyAlignment="1" applyBorder="1" applyFont="1">
      <alignment horizontal="center" readingOrder="0" vertical="center"/>
    </xf>
    <xf borderId="18" fillId="6" fontId="2" numFmtId="0" xfId="0" applyAlignment="1" applyBorder="1" applyFont="1">
      <alignment horizontal="center" readingOrder="0" vertical="center"/>
    </xf>
    <xf borderId="18" fillId="6" fontId="2" numFmtId="0" xfId="0" applyAlignment="1" applyBorder="1" applyFont="1">
      <alignment horizontal="center" readingOrder="0"/>
    </xf>
    <xf borderId="18" fillId="6" fontId="6" numFmtId="0" xfId="0" applyAlignment="1" applyBorder="1" applyFont="1">
      <alignment horizontal="center" readingOrder="0" vertical="center"/>
    </xf>
    <xf borderId="18" fillId="6" fontId="14" numFmtId="0" xfId="0" applyAlignment="1" applyBorder="1" applyFont="1">
      <alignment horizontal="center" readingOrder="0"/>
    </xf>
    <xf borderId="55" fillId="3" fontId="4" numFmtId="3" xfId="0" applyAlignment="1" applyBorder="1" applyFont="1" applyNumberFormat="1">
      <alignment horizontal="right" vertical="bottom"/>
    </xf>
    <xf borderId="39" fillId="3" fontId="4" numFmtId="3" xfId="0" applyAlignment="1" applyBorder="1" applyFont="1" applyNumberFormat="1">
      <alignment horizontal="right" vertical="bottom"/>
    </xf>
    <xf borderId="24" fillId="3" fontId="4" numFmtId="3" xfId="0" applyAlignment="1" applyBorder="1" applyFont="1" applyNumberFormat="1">
      <alignment horizontal="right" vertical="bottom"/>
    </xf>
    <xf borderId="29" fillId="10" fontId="12" numFmtId="0" xfId="0" applyAlignment="1" applyBorder="1" applyFont="1">
      <alignment horizontal="center" readingOrder="0" vertical="center"/>
    </xf>
    <xf borderId="30" fillId="10" fontId="2" numFmtId="0" xfId="0" applyAlignment="1" applyBorder="1" applyFont="1">
      <alignment horizontal="center" readingOrder="0" vertical="center"/>
    </xf>
    <xf borderId="30" fillId="10" fontId="2" numFmtId="0" xfId="0" applyAlignment="1" applyBorder="1" applyFont="1">
      <alignment horizontal="center" readingOrder="0"/>
    </xf>
    <xf borderId="30" fillId="10" fontId="6" numFmtId="0" xfId="0" applyAlignment="1" applyBorder="1" applyFont="1">
      <alignment horizontal="center" readingOrder="0" vertical="center"/>
    </xf>
    <xf borderId="30" fillId="10" fontId="14" numFmtId="0" xfId="0" applyAlignment="1" applyBorder="1" applyFont="1">
      <alignment horizontal="center" readingOrder="0"/>
    </xf>
    <xf borderId="61" fillId="3" fontId="4" numFmtId="167" xfId="0" applyAlignment="1" applyBorder="1" applyFont="1" applyNumberFormat="1">
      <alignment horizontal="right" readingOrder="0" vertical="bottom"/>
    </xf>
    <xf borderId="42" fillId="3" fontId="4" numFmtId="167" xfId="0" applyAlignment="1" applyBorder="1" applyFont="1" applyNumberFormat="1">
      <alignment horizontal="right" readingOrder="0" vertical="bottom"/>
    </xf>
    <xf borderId="1" fillId="3" fontId="6" numFmtId="0" xfId="0" applyAlignment="1" applyBorder="1" applyFont="1">
      <alignment horizontal="center" shrinkToFit="0" vertical="center" wrapText="1"/>
    </xf>
    <xf borderId="38" fillId="3" fontId="4" numFmtId="3" xfId="0" applyAlignment="1" applyBorder="1" applyFont="1" applyNumberFormat="1">
      <alignment horizontal="right" readingOrder="0" vertical="bottom"/>
    </xf>
    <xf borderId="7" fillId="3" fontId="4" numFmtId="3" xfId="0" applyAlignment="1" applyBorder="1" applyFont="1" applyNumberFormat="1">
      <alignment horizontal="center" readingOrder="0" vertical="bottom"/>
    </xf>
    <xf borderId="21" fillId="11" fontId="12" numFmtId="0" xfId="0" applyAlignment="1" applyBorder="1" applyFill="1" applyFont="1">
      <alignment horizontal="center" readingOrder="0" vertical="center"/>
    </xf>
    <xf borderId="18" fillId="11" fontId="2" numFmtId="0" xfId="0" applyAlignment="1" applyBorder="1" applyFont="1">
      <alignment horizontal="center" readingOrder="0" vertical="center"/>
    </xf>
    <xf borderId="18" fillId="11" fontId="2" numFmtId="0" xfId="0" applyAlignment="1" applyBorder="1" applyFont="1">
      <alignment horizontal="center" readingOrder="0"/>
    </xf>
    <xf borderId="18" fillId="11" fontId="6" numFmtId="0" xfId="0" applyAlignment="1" applyBorder="1" applyFont="1">
      <alignment horizontal="center" readingOrder="0" vertical="center"/>
    </xf>
    <xf borderId="18" fillId="11" fontId="14" numFmtId="0" xfId="0" applyAlignment="1" applyBorder="1" applyFont="1">
      <alignment horizontal="center" readingOrder="0"/>
    </xf>
    <xf borderId="18" fillId="3" fontId="4" numFmtId="167" xfId="0" applyAlignment="1" applyBorder="1" applyFont="1" applyNumberFormat="1">
      <alignment horizontal="right" readingOrder="0" vertical="bottom"/>
    </xf>
    <xf borderId="29" fillId="6" fontId="12" numFmtId="0" xfId="0" applyAlignment="1" applyBorder="1" applyFont="1">
      <alignment horizontal="center" readingOrder="0" vertical="center"/>
    </xf>
    <xf borderId="30" fillId="6" fontId="2" numFmtId="0" xfId="0" applyAlignment="1" applyBorder="1" applyFont="1">
      <alignment horizontal="center" readingOrder="0" vertical="center"/>
    </xf>
    <xf borderId="30" fillId="6" fontId="2" numFmtId="0" xfId="0" applyAlignment="1" applyBorder="1" applyFont="1">
      <alignment horizontal="center" readingOrder="0"/>
    </xf>
    <xf borderId="30" fillId="6" fontId="6" numFmtId="0" xfId="0" applyAlignment="1" applyBorder="1" applyFont="1">
      <alignment horizontal="center" readingOrder="0" vertical="center"/>
    </xf>
    <xf borderId="30" fillId="6" fontId="14" numFmtId="0" xfId="0" applyAlignment="1" applyBorder="1" applyFont="1">
      <alignment horizontal="center" readingOrder="0" vertical="center"/>
    </xf>
    <xf borderId="21" fillId="6" fontId="12" numFmtId="0" xfId="0" applyAlignment="1" applyBorder="1" applyFont="1">
      <alignment horizontal="center" readingOrder="0" shrinkToFit="0" wrapText="1"/>
    </xf>
    <xf borderId="18" fillId="6" fontId="4" numFmtId="0" xfId="0" applyAlignment="1" applyBorder="1" applyFont="1">
      <alignment readingOrder="0"/>
    </xf>
    <xf borderId="39" fillId="3" fontId="4" numFmtId="3" xfId="0" applyAlignment="1" applyBorder="1" applyFont="1" applyNumberFormat="1">
      <alignment horizontal="right" readingOrder="0" vertical="bottom"/>
    </xf>
    <xf borderId="29" fillId="8" fontId="12" numFmtId="0" xfId="0" applyAlignment="1" applyBorder="1" applyFont="1">
      <alignment horizontal="center" shrinkToFit="0" wrapText="1"/>
    </xf>
    <xf borderId="30" fillId="8" fontId="2" numFmtId="0" xfId="0" applyAlignment="1" applyBorder="1" applyFont="1">
      <alignment horizontal="center" readingOrder="0" vertical="center"/>
    </xf>
    <xf borderId="30" fillId="8" fontId="4" numFmtId="0" xfId="0" applyBorder="1" applyFont="1"/>
    <xf borderId="30" fillId="8" fontId="6" numFmtId="0" xfId="0" applyAlignment="1" applyBorder="1" applyFont="1">
      <alignment horizontal="center" readingOrder="0" vertical="center"/>
    </xf>
    <xf borderId="30" fillId="8" fontId="14" numFmtId="0" xfId="0" applyAlignment="1" applyBorder="1" applyFont="1">
      <alignment horizontal="center" readingOrder="0"/>
    </xf>
    <xf borderId="7" fillId="0" fontId="5" numFmtId="164" xfId="0" applyAlignment="1" applyBorder="1" applyFont="1" applyNumberForma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3" fontId="4" numFmtId="167" xfId="0" applyAlignment="1" applyBorder="1" applyFont="1" applyNumberFormat="1">
      <alignment horizontal="right" readingOrder="0" vertical="center"/>
    </xf>
    <xf borderId="10" fillId="9" fontId="12" numFmtId="0" xfId="0" applyAlignment="1" applyBorder="1" applyFont="1">
      <alignment horizontal="center" shrinkToFit="0" wrapText="1"/>
    </xf>
    <xf borderId="7" fillId="9" fontId="2" numFmtId="0" xfId="0" applyAlignment="1" applyBorder="1" applyFont="1">
      <alignment horizontal="center" readingOrder="0" vertical="center"/>
    </xf>
    <xf borderId="7" fillId="9" fontId="6" numFmtId="0" xfId="0" applyAlignment="1" applyBorder="1" applyFont="1">
      <alignment horizontal="center" readingOrder="0" vertical="center"/>
    </xf>
    <xf borderId="7" fillId="9" fontId="14" numFmtId="0" xfId="0" applyAlignment="1" applyBorder="1" applyFont="1">
      <alignment horizontal="center" readingOrder="0"/>
    </xf>
    <xf borderId="18" fillId="0" fontId="5" numFmtId="164" xfId="0" applyAlignment="1" applyBorder="1" applyFont="1" applyNumberFormat="1">
      <alignment horizontal="center" readingOrder="0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8" fillId="3" fontId="4" numFmtId="167" xfId="0" applyAlignment="1" applyBorder="1" applyFont="1" applyNumberFormat="1">
      <alignment horizontal="right" readingOrder="0" vertical="center"/>
    </xf>
    <xf borderId="22" fillId="3" fontId="4" numFmtId="167" xfId="0" applyAlignment="1" applyBorder="1" applyFont="1" applyNumberFormat="1">
      <alignment horizontal="right" readingOrder="0" vertical="bottom"/>
    </xf>
    <xf borderId="23" fillId="3" fontId="4" numFmtId="167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18" fillId="8" fontId="4" numFmtId="0" xfId="0" applyBorder="1" applyFont="1"/>
    <xf borderId="0" fillId="0" fontId="16" numFmtId="0" xfId="0" applyAlignment="1" applyFont="1">
      <alignment readingOrder="0"/>
    </xf>
    <xf borderId="29" fillId="3" fontId="12" numFmtId="0" xfId="0" applyAlignment="1" applyBorder="1" applyFont="1">
      <alignment horizontal="center" shrinkToFit="0" wrapText="1"/>
    </xf>
    <xf borderId="30" fillId="3" fontId="6" numFmtId="0" xfId="0" applyAlignment="1" applyBorder="1" applyFont="1">
      <alignment horizontal="center" readingOrder="0" vertical="center"/>
    </xf>
    <xf borderId="30" fillId="3" fontId="14" numFmtId="0" xfId="0" applyAlignment="1" applyBorder="1" applyFont="1">
      <alignment horizontal="center" readingOrder="0"/>
    </xf>
    <xf borderId="32" fillId="3" fontId="4" numFmtId="167" xfId="0" applyAlignment="1" applyBorder="1" applyFont="1" applyNumberFormat="1">
      <alignment horizontal="right" readingOrder="0" vertical="bottom"/>
    </xf>
    <xf borderId="33" fillId="3" fontId="4" numFmtId="167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horizontal="center" readingOrder="0"/>
    </xf>
    <xf borderId="47" fillId="4" fontId="2" numFmtId="0" xfId="0" applyAlignment="1" applyBorder="1" applyFont="1">
      <alignment horizontal="center" shrinkToFit="0" vertical="center" wrapText="1"/>
    </xf>
    <xf borderId="48" fillId="4" fontId="2" numFmtId="0" xfId="0" applyAlignment="1" applyBorder="1" applyFont="1">
      <alignment horizontal="center" shrinkToFit="0" vertical="center" wrapText="1"/>
    </xf>
    <xf borderId="1" fillId="3" fontId="6" numFmtId="170" xfId="0" applyAlignment="1" applyBorder="1" applyFont="1" applyNumberFormat="1">
      <alignment horizontal="center" shrinkToFit="0" vertical="center" wrapText="1"/>
    </xf>
    <xf borderId="9" fillId="3" fontId="6" numFmtId="170" xfId="0" applyAlignment="1" applyBorder="1" applyFont="1" applyNumberFormat="1">
      <alignment horizontal="center" readingOrder="0" shrinkToFit="0" vertical="center" wrapText="1"/>
    </xf>
    <xf borderId="59" fillId="3" fontId="13" numFmtId="0" xfId="0" applyAlignment="1" applyBorder="1" applyFont="1">
      <alignment horizontal="center" readingOrder="0" shrinkToFit="0" vertical="center" wrapText="1"/>
    </xf>
    <xf borderId="55" fillId="0" fontId="8" numFmtId="0" xfId="0" applyBorder="1" applyFont="1"/>
    <xf borderId="61" fillId="0" fontId="8" numFmtId="0" xfId="0" applyBorder="1" applyFont="1"/>
    <xf borderId="44" fillId="3" fontId="6" numFmtId="170" xfId="0" applyAlignment="1" applyBorder="1" applyFont="1" applyNumberFormat="1">
      <alignment horizontal="center" shrinkToFit="0" vertical="center" wrapText="1"/>
    </xf>
    <xf borderId="47" fillId="3" fontId="6" numFmtId="170" xfId="0" applyAlignment="1" applyBorder="1" applyFont="1" applyNumberFormat="1">
      <alignment horizontal="center" readingOrder="0" shrinkToFit="0" vertical="center" wrapText="1"/>
    </xf>
    <xf borderId="59" fillId="3" fontId="4" numFmtId="0" xfId="0" applyAlignment="1" applyBorder="1" applyFont="1">
      <alignment vertical="bottom"/>
    </xf>
    <xf borderId="38" fillId="3" fontId="4" numFmtId="0" xfId="0" applyAlignment="1" applyBorder="1" applyFont="1">
      <alignment vertical="bottom"/>
    </xf>
    <xf borderId="43" fillId="3" fontId="4" numFmtId="0" xfId="0" applyAlignment="1" applyBorder="1" applyFont="1">
      <alignment vertical="bottom"/>
    </xf>
    <xf borderId="2" fillId="3" fontId="4" numFmtId="3" xfId="0" applyAlignment="1" applyBorder="1" applyFont="1" applyNumberFormat="1">
      <alignment vertical="bottom"/>
    </xf>
    <xf borderId="9" fillId="3" fontId="4" numFmtId="3" xfId="0" applyAlignment="1" applyBorder="1" applyFont="1" applyNumberFormat="1">
      <alignment vertical="bottom"/>
    </xf>
    <xf borderId="48" fillId="3" fontId="2" numFmtId="3" xfId="0" applyAlignment="1" applyBorder="1" applyFont="1" applyNumberFormat="1">
      <alignment horizontal="right"/>
    </xf>
    <xf borderId="9" fillId="0" fontId="6" numFmtId="170" xfId="0" applyAlignment="1" applyBorder="1" applyFont="1" applyNumberFormat="1">
      <alignment horizontal="center" readingOrder="0" vertical="center"/>
    </xf>
    <xf borderId="7" fillId="5" fontId="6" numFmtId="0" xfId="0" applyAlignment="1" applyBorder="1" applyFont="1">
      <alignment horizontal="center" vertical="bottom"/>
    </xf>
    <xf borderId="7" fillId="5" fontId="7" numFmtId="0" xfId="0" applyAlignment="1" applyBorder="1" applyFont="1">
      <alignment horizontal="center" readingOrder="0"/>
    </xf>
    <xf borderId="3" fillId="3" fontId="11" numFmtId="0" xfId="0" applyAlignment="1" applyBorder="1" applyFont="1">
      <alignment readingOrder="0" vertical="center"/>
    </xf>
    <xf borderId="38" fillId="3" fontId="4" numFmtId="0" xfId="0" applyAlignment="1" applyBorder="1" applyFont="1">
      <alignment readingOrder="0" vertical="bottom"/>
    </xf>
    <xf borderId="13" fillId="3" fontId="4" numFmtId="0" xfId="0" applyAlignment="1" applyBorder="1" applyFont="1">
      <alignment vertical="bottom"/>
    </xf>
    <xf borderId="7" fillId="3" fontId="4" numFmtId="3" xfId="0" applyAlignment="1" applyBorder="1" applyFont="1" applyNumberFormat="1">
      <alignment vertical="bottom"/>
    </xf>
    <xf borderId="14" fillId="3" fontId="4" numFmtId="3" xfId="0" applyAlignment="1" applyBorder="1" applyFont="1" applyNumberFormat="1">
      <alignment vertical="bottom"/>
    </xf>
    <xf borderId="15" fillId="3" fontId="2" numFmtId="167" xfId="0" applyAlignment="1" applyBorder="1" applyFont="1" applyNumberFormat="1">
      <alignment horizontal="right"/>
    </xf>
    <xf borderId="30" fillId="0" fontId="5" numFmtId="164" xfId="0" applyAlignment="1" applyBorder="1" applyFont="1" applyNumberFormat="1">
      <alignment horizontal="center" readingOrder="0" shrinkToFit="0" vertical="center" wrapText="1"/>
    </xf>
    <xf borderId="30" fillId="0" fontId="5" numFmtId="0" xfId="0" applyAlignment="1" applyBorder="1" applyFont="1">
      <alignment horizontal="center" readingOrder="0" shrinkToFit="0" vertical="center" wrapText="1"/>
    </xf>
    <xf borderId="30" fillId="3" fontId="4" numFmtId="167" xfId="0" applyAlignment="1" applyBorder="1" applyFont="1" applyNumberFormat="1">
      <alignment horizontal="right" readingOrder="0" vertical="bottom"/>
    </xf>
    <xf borderId="30" fillId="3" fontId="4" numFmtId="167" xfId="0" applyAlignment="1" applyBorder="1" applyFont="1" applyNumberFormat="1">
      <alignment horizontal="right" readingOrder="0" vertical="center"/>
    </xf>
    <xf borderId="18" fillId="6" fontId="6" numFmtId="0" xfId="0" applyAlignment="1" applyBorder="1" applyFont="1">
      <alignment horizontal="center" readingOrder="0" vertical="bottom"/>
    </xf>
    <xf borderId="18" fillId="6" fontId="7" numFmtId="0" xfId="0" applyAlignment="1" applyBorder="1" applyFont="1">
      <alignment horizontal="center" readingOrder="0"/>
    </xf>
    <xf borderId="55" fillId="3" fontId="4" numFmtId="166" xfId="0" applyAlignment="1" applyBorder="1" applyFont="1" applyNumberFormat="1">
      <alignment readingOrder="0" vertical="bottom"/>
    </xf>
    <xf borderId="39" fillId="3" fontId="4" numFmtId="166" xfId="0" applyAlignment="1" applyBorder="1" applyFont="1" applyNumberFormat="1">
      <alignment readingOrder="0" vertical="bottom"/>
    </xf>
    <xf borderId="24" fillId="3" fontId="4" numFmtId="166" xfId="0" applyAlignment="1" applyBorder="1" applyFont="1" applyNumberFormat="1">
      <alignment readingOrder="0" vertical="bottom"/>
    </xf>
    <xf borderId="18" fillId="3" fontId="4" numFmtId="3" xfId="0" applyAlignment="1" applyBorder="1" applyFont="1" applyNumberFormat="1">
      <alignment vertical="bottom"/>
    </xf>
    <xf borderId="25" fillId="3" fontId="4" numFmtId="167" xfId="0" applyAlignment="1" applyBorder="1" applyFont="1" applyNumberFormat="1">
      <alignment vertical="bottom"/>
    </xf>
    <xf borderId="7" fillId="3" fontId="4" numFmtId="167" xfId="0" applyAlignment="1" applyBorder="1" applyFont="1" applyNumberFormat="1">
      <alignment horizontal="right" readingOrder="0" shrinkToFit="0" vertical="center" wrapText="1"/>
    </xf>
    <xf borderId="3" fillId="3" fontId="2" numFmtId="167" xfId="0" applyAlignment="1" applyBorder="1" applyFont="1" applyNumberFormat="1">
      <alignment horizontal="center" readingOrder="0" shrinkToFit="0" vertical="center" wrapText="1"/>
    </xf>
    <xf borderId="29" fillId="8" fontId="12" numFmtId="0" xfId="0" applyAlignment="1" applyBorder="1" applyFont="1">
      <alignment horizontal="center" readingOrder="0" vertical="center"/>
    </xf>
    <xf borderId="30" fillId="8" fontId="2" numFmtId="0" xfId="0" applyAlignment="1" applyBorder="1" applyFont="1">
      <alignment horizontal="center" readingOrder="0"/>
    </xf>
    <xf borderId="30" fillId="8" fontId="6" numFmtId="0" xfId="0" applyAlignment="1" applyBorder="1" applyFont="1">
      <alignment horizontal="center" readingOrder="0" vertical="bottom"/>
    </xf>
    <xf borderId="30" fillId="8" fontId="7" numFmtId="0" xfId="0" applyAlignment="1" applyBorder="1" applyFont="1">
      <alignment horizontal="center" readingOrder="0"/>
    </xf>
    <xf borderId="61" fillId="3" fontId="4" numFmtId="166" xfId="0" applyAlignment="1" applyBorder="1" applyFont="1" applyNumberFormat="1">
      <alignment readingOrder="0" vertical="bottom"/>
    </xf>
    <xf borderId="42" fillId="3" fontId="4" numFmtId="166" xfId="0" applyAlignment="1" applyBorder="1" applyFont="1" applyNumberFormat="1">
      <alignment readingOrder="0" vertical="bottom"/>
    </xf>
    <xf borderId="18" fillId="3" fontId="4" numFmtId="3" xfId="0" applyAlignment="1" applyBorder="1" applyFont="1" applyNumberFormat="1">
      <alignment horizontal="center" readingOrder="0" vertical="center"/>
    </xf>
    <xf borderId="18" fillId="3" fontId="4" numFmtId="167" xfId="0" applyAlignment="1" applyBorder="1" applyFont="1" applyNumberFormat="1">
      <alignment horizontal="right" readingOrder="0" shrinkToFit="0" vertical="center" wrapText="1"/>
    </xf>
    <xf borderId="1" fillId="0" fontId="6" numFmtId="170" xfId="0" applyAlignment="1" applyBorder="1" applyFont="1" applyNumberFormat="1">
      <alignment horizontal="center" shrinkToFit="0" vertical="center" wrapText="1"/>
    </xf>
    <xf borderId="10" fillId="5" fontId="6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vertical="center"/>
    </xf>
    <xf borderId="7" fillId="5" fontId="17" numFmtId="0" xfId="0" applyAlignment="1" applyBorder="1" applyFont="1">
      <alignment horizontal="center" vertical="center"/>
    </xf>
    <xf borderId="8" fillId="3" fontId="4" numFmtId="0" xfId="0" applyAlignment="1" applyBorder="1" applyFont="1">
      <alignment vertical="bottom"/>
    </xf>
    <xf borderId="62" fillId="3" fontId="4" numFmtId="166" xfId="0" applyAlignment="1" applyBorder="1" applyFont="1" applyNumberFormat="1">
      <alignment readingOrder="0" vertical="bottom"/>
    </xf>
    <xf borderId="10" fillId="3" fontId="4" numFmtId="166" xfId="0" applyAlignment="1" applyBorder="1" applyFont="1" applyNumberFormat="1">
      <alignment readingOrder="0" vertical="bottom"/>
    </xf>
    <xf borderId="13" fillId="3" fontId="4" numFmtId="166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shrinkToFit="0" wrapText="0"/>
    </xf>
    <xf borderId="21" fillId="9" fontId="6" numFmtId="0" xfId="0" applyAlignment="1" applyBorder="1" applyFont="1">
      <alignment horizontal="center" readingOrder="0" shrinkToFit="0" vertical="center" wrapText="1"/>
    </xf>
    <xf borderId="18" fillId="9" fontId="17" numFmtId="0" xfId="0" applyAlignment="1" applyBorder="1" applyFont="1">
      <alignment horizontal="center" vertical="center"/>
    </xf>
    <xf borderId="19" fillId="3" fontId="4" numFmtId="0" xfId="0" applyAlignment="1" applyBorder="1" applyFont="1">
      <alignment vertical="bottom"/>
    </xf>
    <xf borderId="63" fillId="3" fontId="4" numFmtId="166" xfId="0" applyAlignment="1" applyBorder="1" applyFont="1" applyNumberFormat="1">
      <alignment readingOrder="0" vertical="bottom"/>
    </xf>
    <xf borderId="21" fillId="3" fontId="4" numFmtId="166" xfId="0" applyAlignment="1" applyBorder="1" applyFont="1" applyNumberFormat="1">
      <alignment readingOrder="0" vertical="bottom"/>
    </xf>
    <xf borderId="21" fillId="8" fontId="6" numFmtId="0" xfId="0" applyAlignment="1" applyBorder="1" applyFont="1">
      <alignment horizontal="center" readingOrder="0" shrinkToFit="0" vertical="center" wrapText="1"/>
    </xf>
    <xf borderId="18" fillId="8" fontId="2" numFmtId="0" xfId="0" applyAlignment="1" applyBorder="1" applyFont="1">
      <alignment horizontal="center"/>
    </xf>
    <xf borderId="18" fillId="8" fontId="6" numFmtId="0" xfId="0" applyAlignment="1" applyBorder="1" applyFont="1">
      <alignment horizontal="center" vertical="center"/>
    </xf>
    <xf borderId="18" fillId="8" fontId="17" numFmtId="0" xfId="0" applyAlignment="1" applyBorder="1" applyFont="1">
      <alignment horizontal="center" vertical="center"/>
    </xf>
    <xf borderId="29" fillId="3" fontId="6" numFmtId="0" xfId="0" applyAlignment="1" applyBorder="1" applyFont="1">
      <alignment horizontal="center" readingOrder="0" shrinkToFit="0" vertical="center" wrapText="1"/>
    </xf>
    <xf borderId="30" fillId="3" fontId="2" numFmtId="0" xfId="0" applyAlignment="1" applyBorder="1" applyFont="1">
      <alignment horizontal="center"/>
    </xf>
    <xf borderId="30" fillId="3" fontId="17" numFmtId="0" xfId="0" applyAlignment="1" applyBorder="1" applyFont="1">
      <alignment horizontal="center" vertical="center"/>
    </xf>
    <xf borderId="31" fillId="3" fontId="4" numFmtId="0" xfId="0" applyAlignment="1" applyBorder="1" applyFont="1">
      <alignment vertical="bottom"/>
    </xf>
    <xf borderId="64" fillId="3" fontId="4" numFmtId="166" xfId="0" applyAlignment="1" applyBorder="1" applyFont="1" applyNumberFormat="1">
      <alignment readingOrder="0" vertical="bottom"/>
    </xf>
    <xf borderId="29" fillId="3" fontId="4" numFmtId="166" xfId="0" applyAlignment="1" applyBorder="1" applyFont="1" applyNumberFormat="1">
      <alignment readingOrder="0" vertical="bottom"/>
    </xf>
    <xf borderId="34" fillId="3" fontId="4" numFmtId="166" xfId="0" applyAlignment="1" applyBorder="1" applyFont="1" applyNumberFormat="1">
      <alignment readingOrder="0" vertical="bottom"/>
    </xf>
    <xf borderId="7" fillId="5" fontId="2" numFmtId="0" xfId="0" applyAlignment="1" applyBorder="1" applyFont="1">
      <alignment horizontal="center" readingOrder="0" shrinkToFit="0" vertical="center" wrapText="1"/>
    </xf>
    <xf borderId="3" fillId="3" fontId="18" numFmtId="0" xfId="0" applyAlignment="1" applyBorder="1" applyFont="1">
      <alignment horizontal="center" readingOrder="0" vertical="center"/>
    </xf>
    <xf borderId="40" fillId="3" fontId="4" numFmtId="166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shrinkToFit="0" vertical="center" wrapText="0"/>
    </xf>
    <xf borderId="18" fillId="9" fontId="2" numFmtId="0" xfId="0" applyAlignment="1" applyBorder="1" applyFont="1">
      <alignment horizontal="center" shrinkToFit="0" wrapText="1"/>
    </xf>
    <xf borderId="18" fillId="9" fontId="6" numFmtId="0" xfId="0" applyAlignment="1" applyBorder="1" applyFont="1">
      <alignment horizontal="center" vertical="center"/>
    </xf>
    <xf borderId="0" fillId="3" fontId="4" numFmtId="166" xfId="0" applyAlignment="1" applyFont="1" applyNumberFormat="1">
      <alignment readingOrder="0" vertical="bottom"/>
    </xf>
    <xf borderId="30" fillId="3" fontId="4" numFmtId="167" xfId="0" applyAlignment="1" applyBorder="1" applyFont="1" applyNumberFormat="1">
      <alignment horizontal="right" readingOrder="0" shrinkToFit="0" vertical="center" wrapText="1"/>
    </xf>
    <xf borderId="18" fillId="8" fontId="2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center" readingOrder="0" vertical="center"/>
    </xf>
    <xf borderId="38" fillId="3" fontId="2" numFmtId="167" xfId="0" applyAlignment="1" applyBorder="1" applyFont="1" applyNumberFormat="1">
      <alignment horizontal="center" readingOrder="0" vertical="center"/>
    </xf>
    <xf borderId="30" fillId="3" fontId="2" numFmtId="0" xfId="0" applyAlignment="1" applyBorder="1" applyFont="1">
      <alignment horizontal="center" shrinkToFit="0" wrapText="1"/>
    </xf>
    <xf borderId="41" fillId="3" fontId="4" numFmtId="166" xfId="0" applyAlignment="1" applyBorder="1" applyFont="1" applyNumberFormat="1">
      <alignment readingOrder="0" vertical="bottom"/>
    </xf>
    <xf borderId="35" fillId="0" fontId="5" numFmtId="0" xfId="0" applyAlignment="1" applyBorder="1" applyFont="1">
      <alignment horizontal="center" readingOrder="0" vertical="center"/>
    </xf>
    <xf borderId="65" fillId="3" fontId="4" numFmtId="167" xfId="0" applyAlignment="1" applyBorder="1" applyFont="1" applyNumberFormat="1">
      <alignment horizontal="right" readingOrder="0" vertical="bottom"/>
    </xf>
    <xf borderId="10" fillId="3" fontId="6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shrinkToFit="0" wrapText="1"/>
    </xf>
    <xf borderId="7" fillId="3" fontId="6" numFmtId="0" xfId="0" applyAlignment="1" applyBorder="1" applyFont="1">
      <alignment horizontal="center" vertical="center"/>
    </xf>
    <xf borderId="7" fillId="3" fontId="17" numFmtId="0" xfId="0" applyAlignment="1" applyBorder="1" applyFont="1">
      <alignment horizontal="center" vertical="center"/>
    </xf>
    <xf borderId="66" fillId="3" fontId="4" numFmtId="167" xfId="0" applyAlignment="1" applyBorder="1" applyFont="1" applyNumberFormat="1">
      <alignment horizontal="right" readingOrder="0" vertical="bottom"/>
    </xf>
    <xf borderId="1" fillId="0" fontId="19" numFmtId="0" xfId="0" applyAlignment="1" applyBorder="1" applyFont="1">
      <alignment horizontal="center" readingOrder="0" vertical="center"/>
    </xf>
    <xf borderId="3" fillId="0" fontId="19" numFmtId="169" xfId="0" applyAlignment="1" applyBorder="1" applyFont="1" applyNumberFormat="1">
      <alignment horizontal="center" readingOrder="0" vertical="center"/>
    </xf>
    <xf borderId="10" fillId="5" fontId="19" numFmtId="0" xfId="0" applyAlignment="1" applyBorder="1" applyFont="1">
      <alignment horizontal="center" readingOrder="0"/>
    </xf>
    <xf borderId="7" fillId="5" fontId="20" numFmtId="0" xfId="0" applyAlignment="1" applyBorder="1" applyFont="1">
      <alignment horizontal="center" readingOrder="0"/>
    </xf>
    <xf borderId="2" fillId="3" fontId="20" numFmtId="0" xfId="0" applyAlignment="1" applyBorder="1" applyFont="1">
      <alignment horizontal="center" readingOrder="0" vertical="center"/>
    </xf>
    <xf borderId="7" fillId="5" fontId="19" numFmtId="0" xfId="0" applyAlignment="1" applyBorder="1" applyFont="1">
      <alignment horizontal="center" readingOrder="0"/>
    </xf>
    <xf borderId="3" fillId="0" fontId="18" numFmtId="0" xfId="0" applyAlignment="1" applyBorder="1" applyFont="1">
      <alignment horizontal="center" readingOrder="0" vertical="center"/>
    </xf>
    <xf borderId="59" fillId="0" fontId="5" numFmtId="166" xfId="0" applyBorder="1" applyFont="1" applyNumberFormat="1"/>
    <xf borderId="38" fillId="0" fontId="5" numFmtId="166" xfId="0" applyBorder="1" applyFont="1" applyNumberFormat="1"/>
    <xf borderId="10" fillId="0" fontId="5" numFmtId="166" xfId="0" applyBorder="1" applyFont="1" applyNumberFormat="1"/>
    <xf borderId="7" fillId="0" fontId="16" numFmtId="166" xfId="0" applyAlignment="1" applyBorder="1" applyFont="1" applyNumberFormat="1">
      <alignment horizontal="center" readingOrder="0"/>
    </xf>
    <xf borderId="8" fillId="0" fontId="5" numFmtId="166" xfId="0" applyBorder="1" applyFont="1" applyNumberFormat="1"/>
    <xf borderId="38" fillId="0" fontId="2" numFmtId="166" xfId="0" applyBorder="1" applyFont="1" applyNumberFormat="1"/>
    <xf borderId="21" fillId="6" fontId="19" numFmtId="0" xfId="0" applyAlignment="1" applyBorder="1" applyFont="1">
      <alignment horizontal="center" readingOrder="0"/>
    </xf>
    <xf borderId="18" fillId="6" fontId="20" numFmtId="0" xfId="0" applyAlignment="1" applyBorder="1" applyFont="1">
      <alignment horizontal="center" readingOrder="0"/>
    </xf>
    <xf borderId="67" fillId="0" fontId="8" numFmtId="0" xfId="0" applyBorder="1" applyFont="1"/>
    <xf borderId="18" fillId="6" fontId="19" numFmtId="0" xfId="0" applyAlignment="1" applyBorder="1" applyFont="1">
      <alignment horizontal="center" readingOrder="0"/>
    </xf>
    <xf borderId="55" fillId="0" fontId="5" numFmtId="166" xfId="0" applyBorder="1" applyFont="1" applyNumberFormat="1"/>
    <xf borderId="39" fillId="0" fontId="5" numFmtId="166" xfId="0" applyBorder="1" applyFont="1" applyNumberFormat="1"/>
    <xf borderId="21" fillId="0" fontId="5" numFmtId="166" xfId="0" applyBorder="1" applyFont="1" applyNumberFormat="1"/>
    <xf borderId="18" fillId="0" fontId="21" numFmtId="166" xfId="0" applyAlignment="1" applyBorder="1" applyFont="1" applyNumberFormat="1">
      <alignment horizontal="center" readingOrder="0"/>
    </xf>
    <xf borderId="19" fillId="0" fontId="5" numFmtId="166" xfId="0" applyBorder="1" applyFont="1" applyNumberFormat="1"/>
    <xf borderId="29" fillId="9" fontId="19" numFmtId="0" xfId="0" applyAlignment="1" applyBorder="1" applyFont="1">
      <alignment horizontal="center" readingOrder="0"/>
    </xf>
    <xf borderId="30" fillId="9" fontId="20" numFmtId="0" xfId="0" applyAlignment="1" applyBorder="1" applyFont="1">
      <alignment horizontal="center" readingOrder="0"/>
    </xf>
    <xf borderId="30" fillId="9" fontId="20" numFmtId="0" xfId="0" applyAlignment="1" applyBorder="1" applyFont="1">
      <alignment horizontal="center" readingOrder="0" shrinkToFit="0" vertical="center" wrapText="1"/>
    </xf>
    <xf borderId="30" fillId="9" fontId="19" numFmtId="0" xfId="0" applyAlignment="1" applyBorder="1" applyFont="1">
      <alignment horizontal="center" readingOrder="0"/>
    </xf>
    <xf borderId="30" fillId="9" fontId="7" numFmtId="0" xfId="0" applyAlignment="1" applyBorder="1" applyFont="1">
      <alignment horizontal="center" readingOrder="0"/>
    </xf>
    <xf borderId="55" fillId="0" fontId="5" numFmtId="166" xfId="0" applyAlignment="1" applyBorder="1" applyFont="1" applyNumberFormat="1">
      <alignment readingOrder="0"/>
    </xf>
    <xf borderId="39" fillId="0" fontId="5" numFmtId="166" xfId="0" applyAlignment="1" applyBorder="1" applyFont="1" applyNumberFormat="1">
      <alignment readingOrder="0"/>
    </xf>
    <xf borderId="52" fillId="0" fontId="5" numFmtId="166" xfId="0" applyAlignment="1" applyBorder="1" applyFont="1" applyNumberFormat="1">
      <alignment readingOrder="0"/>
    </xf>
    <xf borderId="53" fillId="0" fontId="5" numFmtId="166" xfId="0" applyBorder="1" applyFont="1" applyNumberFormat="1"/>
    <xf borderId="68" fillId="0" fontId="5" numFmtId="166" xfId="0" applyBorder="1" applyFont="1" applyNumberFormat="1"/>
    <xf borderId="51" fillId="0" fontId="8" numFmtId="0" xfId="0" applyBorder="1" applyFont="1"/>
    <xf borderId="10" fillId="8" fontId="19" numFmtId="0" xfId="0" applyAlignment="1" applyBorder="1" applyFont="1">
      <alignment horizontal="center" readingOrder="0"/>
    </xf>
    <xf borderId="7" fillId="8" fontId="20" numFmtId="0" xfId="0" applyAlignment="1" applyBorder="1" applyFont="1">
      <alignment horizontal="center" readingOrder="0"/>
    </xf>
    <xf borderId="7" fillId="8" fontId="5" numFmtId="0" xfId="0" applyBorder="1" applyFont="1"/>
    <xf borderId="7" fillId="8" fontId="19" numFmtId="0" xfId="0" applyAlignment="1" applyBorder="1" applyFont="1">
      <alignment horizontal="center" readingOrder="0"/>
    </xf>
    <xf borderId="67" fillId="8" fontId="17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59" fillId="0" fontId="5" numFmtId="166" xfId="0" applyAlignment="1" applyBorder="1" applyFont="1" applyNumberFormat="1">
      <alignment readingOrder="0"/>
    </xf>
    <xf borderId="38" fillId="0" fontId="5" numFmtId="166" xfId="0" applyAlignment="1" applyBorder="1" applyFont="1" applyNumberFormat="1">
      <alignment readingOrder="0"/>
    </xf>
    <xf borderId="10" fillId="0" fontId="5" numFmtId="166" xfId="0" applyAlignment="1" applyBorder="1" applyFont="1" applyNumberFormat="1">
      <alignment readingOrder="0"/>
    </xf>
    <xf borderId="7" fillId="0" fontId="5" numFmtId="166" xfId="0" applyBorder="1" applyFont="1" applyNumberFormat="1"/>
    <xf borderId="38" fillId="0" fontId="20" numFmtId="166" xfId="0" applyBorder="1" applyFont="1" applyNumberFormat="1"/>
    <xf borderId="29" fillId="7" fontId="19" numFmtId="0" xfId="0" applyAlignment="1" applyBorder="1" applyFont="1">
      <alignment horizontal="center" readingOrder="0"/>
    </xf>
    <xf borderId="30" fillId="7" fontId="20" numFmtId="0" xfId="0" applyAlignment="1" applyBorder="1" applyFont="1">
      <alignment horizontal="center" readingOrder="0"/>
    </xf>
    <xf borderId="30" fillId="7" fontId="5" numFmtId="0" xfId="0" applyBorder="1" applyFont="1"/>
    <xf borderId="30" fillId="7" fontId="19" numFmtId="0" xfId="0" applyAlignment="1" applyBorder="1" applyFont="1">
      <alignment horizontal="center" readingOrder="0"/>
    </xf>
    <xf borderId="30" fillId="7" fontId="17" numFmtId="0" xfId="0" applyAlignment="1" applyBorder="1" applyFont="1">
      <alignment horizontal="center" vertical="center"/>
    </xf>
    <xf borderId="61" fillId="0" fontId="5" numFmtId="166" xfId="0" applyAlignment="1" applyBorder="1" applyFont="1" applyNumberFormat="1">
      <alignment readingOrder="0"/>
    </xf>
    <xf borderId="42" fillId="0" fontId="5" numFmtId="166" xfId="0" applyAlignment="1" applyBorder="1" applyFont="1" applyNumberFormat="1">
      <alignment readingOrder="0"/>
    </xf>
    <xf borderId="29" fillId="0" fontId="5" numFmtId="166" xfId="0" applyAlignment="1" applyBorder="1" applyFont="1" applyNumberFormat="1">
      <alignment readingOrder="0"/>
    </xf>
    <xf borderId="30" fillId="0" fontId="5" numFmtId="166" xfId="0" applyBorder="1" applyFont="1" applyNumberFormat="1"/>
    <xf borderId="31" fillId="0" fontId="5" numFmtId="166" xfId="0" applyBorder="1" applyFont="1" applyNumberFormat="1"/>
    <xf borderId="7" fillId="5" fontId="20" numFmtId="0" xfId="0" applyAlignment="1" applyBorder="1" applyFont="1">
      <alignment horizontal="center" readingOrder="0" vertical="center"/>
    </xf>
    <xf borderId="7" fillId="0" fontId="16" numFmtId="166" xfId="0" applyAlignment="1" applyBorder="1" applyFont="1" applyNumberFormat="1">
      <alignment readingOrder="0"/>
    </xf>
    <xf borderId="18" fillId="9" fontId="20" numFmtId="0" xfId="0" applyAlignment="1" applyBorder="1" applyFont="1">
      <alignment horizontal="center" readingOrder="0"/>
    </xf>
    <xf borderId="18" fillId="9" fontId="20" numFmtId="0" xfId="0" applyAlignment="1" applyBorder="1" applyFont="1">
      <alignment horizontal="center" readingOrder="0" vertical="center"/>
    </xf>
    <xf borderId="21" fillId="0" fontId="5" numFmtId="166" xfId="0" applyAlignment="1" applyBorder="1" applyFont="1" applyNumberFormat="1">
      <alignment readingOrder="0"/>
    </xf>
    <xf borderId="18" fillId="0" fontId="5" numFmtId="166" xfId="0" applyAlignment="1" applyBorder="1" applyFont="1" applyNumberFormat="1">
      <alignment horizontal="center" readingOrder="0"/>
    </xf>
    <xf borderId="18" fillId="8" fontId="20" numFmtId="0" xfId="0" applyAlignment="1" applyBorder="1" applyFont="1">
      <alignment horizontal="center" readingOrder="0"/>
    </xf>
    <xf borderId="18" fillId="8" fontId="5" numFmtId="0" xfId="0" applyBorder="1" applyFont="1"/>
    <xf borderId="18" fillId="0" fontId="5" numFmtId="166" xfId="0" applyBorder="1" applyFont="1" applyNumberFormat="1"/>
    <xf borderId="29" fillId="7" fontId="6" numFmtId="0" xfId="0" applyAlignment="1" applyBorder="1" applyFont="1">
      <alignment horizontal="center" readingOrder="0" shrinkToFit="0" vertical="center" wrapText="1"/>
    </xf>
    <xf borderId="30" fillId="7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shrinkToFit="0" vertical="center" wrapText="1"/>
    </xf>
    <xf borderId="7" fillId="0" fontId="5" numFmtId="166" xfId="0" applyAlignment="1" applyBorder="1" applyFont="1" applyNumberFormat="1">
      <alignment readingOrder="0"/>
    </xf>
    <xf borderId="21" fillId="6" fontId="6" numFmtId="0" xfId="0" applyAlignment="1" applyBorder="1" applyFont="1">
      <alignment horizontal="center" readingOrder="0" shrinkToFit="0" vertical="center" wrapText="1"/>
    </xf>
    <xf borderId="18" fillId="6" fontId="17" numFmtId="0" xfId="0" applyAlignment="1" applyBorder="1" applyFont="1">
      <alignment horizontal="center" vertical="center"/>
    </xf>
    <xf borderId="18" fillId="0" fontId="16" numFmtId="166" xfId="0" applyAlignment="1" applyBorder="1" applyFont="1" applyNumberFormat="1">
      <alignment horizontal="center" readingOrder="0" shrinkToFit="0" wrapText="1"/>
    </xf>
    <xf borderId="18" fillId="0" fontId="16" numFmtId="166" xfId="0" applyAlignment="1" applyBorder="1" applyFont="1" applyNumberFormat="1">
      <alignment horizontal="center" readingOrder="0"/>
    </xf>
    <xf borderId="29" fillId="8" fontId="6" numFmtId="0" xfId="0" applyAlignment="1" applyBorder="1" applyFont="1">
      <alignment horizontal="center" readingOrder="0" shrinkToFit="0" vertical="center" wrapText="1"/>
    </xf>
    <xf borderId="30" fillId="8" fontId="20" numFmtId="0" xfId="0" applyAlignment="1" applyBorder="1" applyFont="1">
      <alignment horizontal="center" readingOrder="0"/>
    </xf>
    <xf borderId="30" fillId="8" fontId="5" numFmtId="0" xfId="0" applyBorder="1" applyFont="1"/>
    <xf borderId="30" fillId="8" fontId="17" numFmtId="0" xfId="0" applyAlignment="1" applyBorder="1" applyFont="1">
      <alignment horizontal="center" vertical="center"/>
    </xf>
    <xf borderId="3" fillId="0" fontId="22" numFmtId="0" xfId="0" applyAlignment="1" applyBorder="1" applyFont="1">
      <alignment horizontal="center" readingOrder="0" vertical="center"/>
    </xf>
    <xf borderId="18" fillId="6" fontId="20" numFmtId="0" xfId="0" applyAlignment="1" applyBorder="1" applyFont="1">
      <alignment horizontal="center" readingOrder="0" vertical="center"/>
    </xf>
    <xf borderId="18" fillId="9" fontId="5" numFmtId="0" xfId="0" applyBorder="1" applyFont="1"/>
    <xf borderId="10" fillId="5" fontId="6" numFmtId="0" xfId="0" applyAlignment="1" applyBorder="1" applyFont="1">
      <alignment horizontal="center" readingOrder="0" shrinkToFit="0" vertical="center" wrapText="1"/>
    </xf>
    <xf borderId="21" fillId="7" fontId="6" numFmtId="0" xfId="0" applyAlignment="1" applyBorder="1" applyFont="1">
      <alignment horizontal="center" readingOrder="0" shrinkToFit="0" vertical="center" wrapText="1"/>
    </xf>
    <xf borderId="18" fillId="7" fontId="20" numFmtId="0" xfId="0" applyAlignment="1" applyBorder="1" applyFont="1">
      <alignment horizontal="center" readingOrder="0"/>
    </xf>
    <xf borderId="18" fillId="7" fontId="5" numFmtId="0" xfId="0" applyBorder="1" applyFont="1"/>
    <xf borderId="18" fillId="7" fontId="6" numFmtId="0" xfId="0" applyAlignment="1" applyBorder="1" applyFont="1">
      <alignment horizontal="center" readingOrder="0" vertical="center"/>
    </xf>
    <xf borderId="18" fillId="7" fontId="7" numFmtId="0" xfId="0" applyAlignment="1" applyBorder="1" applyFont="1">
      <alignment horizontal="center" readingOrder="0"/>
    </xf>
    <xf borderId="21" fillId="12" fontId="6" numFmtId="0" xfId="0" applyAlignment="1" applyBorder="1" applyFill="1" applyFont="1">
      <alignment horizontal="center" readingOrder="0" shrinkToFit="0" vertical="center" wrapText="1"/>
    </xf>
    <xf borderId="18" fillId="12" fontId="20" numFmtId="0" xfId="0" applyAlignment="1" applyBorder="1" applyFont="1">
      <alignment horizontal="center" readingOrder="0"/>
    </xf>
    <xf borderId="18" fillId="12" fontId="6" numFmtId="0" xfId="0" applyAlignment="1" applyBorder="1" applyFont="1">
      <alignment horizontal="center" readingOrder="0" vertical="center"/>
    </xf>
    <xf borderId="18" fillId="12" fontId="7" numFmtId="0" xfId="0" applyAlignment="1" applyBorder="1" applyFont="1">
      <alignment horizontal="center" readingOrder="0"/>
    </xf>
    <xf borderId="18" fillId="8" fontId="7" numFmtId="0" xfId="0" applyAlignment="1" applyBorder="1" applyFont="1">
      <alignment horizontal="center" readingOrder="0"/>
    </xf>
    <xf borderId="30" fillId="3" fontId="20" numFmtId="0" xfId="0" applyAlignment="1" applyBorder="1" applyFont="1">
      <alignment horizontal="center" readingOrder="0"/>
    </xf>
    <xf borderId="30" fillId="3" fontId="5" numFmtId="0" xfId="0" applyBorder="1" applyFont="1"/>
    <xf borderId="30" fillId="3" fontId="7" numFmtId="0" xfId="0" applyAlignment="1" applyBorder="1" applyFont="1">
      <alignment horizontal="center" readingOrder="0"/>
    </xf>
    <xf borderId="61" fillId="0" fontId="5" numFmtId="166" xfId="0" applyBorder="1" applyFont="1" applyNumberFormat="1"/>
    <xf borderId="42" fillId="0" fontId="5" numFmtId="166" xfId="0" applyBorder="1" applyFont="1" applyNumberFormat="1"/>
    <xf borderId="0" fillId="0" fontId="19" numFmtId="0" xfId="0" applyFont="1"/>
    <xf borderId="0" fillId="0" fontId="20" numFmtId="0" xfId="0" applyAlignment="1" applyFont="1">
      <alignment horizontal="center"/>
    </xf>
    <xf borderId="13" fillId="5" fontId="19" numFmtId="0" xfId="0" applyAlignment="1" applyBorder="1" applyFont="1">
      <alignment horizontal="center" readingOrder="0"/>
    </xf>
    <xf borderId="7" fillId="5" fontId="19" numFmtId="0" xfId="0" applyAlignment="1" applyBorder="1" applyFont="1">
      <alignment horizontal="center" readingOrder="0" vertical="center"/>
    </xf>
    <xf borderId="3" fillId="0" fontId="16" numFmtId="0" xfId="0" applyAlignment="1" applyBorder="1" applyFont="1">
      <alignment horizontal="center" readingOrder="0" vertical="center"/>
    </xf>
    <xf borderId="59" fillId="0" fontId="5" numFmtId="0" xfId="0" applyBorder="1" applyFont="1"/>
    <xf borderId="38" fillId="0" fontId="5" numFmtId="0" xfId="0" applyBorder="1" applyFont="1"/>
    <xf borderId="8" fillId="0" fontId="5" numFmtId="166" xfId="0" applyAlignment="1" applyBorder="1" applyFont="1" applyNumberFormat="1">
      <alignment readingOrder="0"/>
    </xf>
    <xf borderId="24" fillId="9" fontId="19" numFmtId="0" xfId="0" applyAlignment="1" applyBorder="1" applyFont="1">
      <alignment horizontal="center" readingOrder="0"/>
    </xf>
    <xf borderId="18" fillId="9" fontId="19" numFmtId="0" xfId="0" applyAlignment="1" applyBorder="1" applyFont="1">
      <alignment horizontal="center" readingOrder="0" vertical="center"/>
    </xf>
    <xf borderId="55" fillId="0" fontId="5" numFmtId="0" xfId="0" applyBorder="1" applyFont="1"/>
    <xf borderId="39" fillId="0" fontId="5" numFmtId="0" xfId="0" applyBorder="1" applyFont="1"/>
    <xf borderId="18" fillId="0" fontId="5" numFmtId="166" xfId="0" applyAlignment="1" applyBorder="1" applyFont="1" applyNumberFormat="1">
      <alignment readingOrder="0"/>
    </xf>
    <xf borderId="19" fillId="0" fontId="5" numFmtId="166" xfId="0" applyAlignment="1" applyBorder="1" applyFont="1" applyNumberFormat="1">
      <alignment readingOrder="0"/>
    </xf>
    <xf borderId="0" fillId="0" fontId="23" numFmtId="0" xfId="0" applyAlignment="1" applyFont="1">
      <alignment readingOrder="0"/>
    </xf>
    <xf borderId="56" fillId="13" fontId="19" numFmtId="0" xfId="0" applyAlignment="1" applyBorder="1" applyFill="1" applyFont="1">
      <alignment horizontal="center" readingOrder="0"/>
    </xf>
    <xf borderId="53" fillId="13" fontId="20" numFmtId="0" xfId="0" applyAlignment="1" applyBorder="1" applyFont="1">
      <alignment horizontal="center" readingOrder="0" vertical="center"/>
    </xf>
    <xf borderId="53" fillId="13" fontId="5" numFmtId="0" xfId="0" applyBorder="1" applyFont="1"/>
    <xf borderId="53" fillId="13" fontId="19" numFmtId="0" xfId="0" applyAlignment="1" applyBorder="1" applyFont="1">
      <alignment horizontal="center" readingOrder="0" vertical="center"/>
    </xf>
    <xf borderId="53" fillId="13" fontId="17" numFmtId="0" xfId="0" applyAlignment="1" applyBorder="1" applyFont="1">
      <alignment horizontal="center" readingOrder="0" vertical="center"/>
    </xf>
    <xf borderId="34" fillId="8" fontId="19" numFmtId="0" xfId="0" applyAlignment="1" applyBorder="1" applyFont="1">
      <alignment horizontal="center" readingOrder="0"/>
    </xf>
    <xf borderId="30" fillId="8" fontId="20" numFmtId="0" xfId="0" applyAlignment="1" applyBorder="1" applyFont="1">
      <alignment horizontal="center" readingOrder="0" vertical="center"/>
    </xf>
    <xf borderId="30" fillId="8" fontId="19" numFmtId="0" xfId="0" applyAlignment="1" applyBorder="1" applyFont="1">
      <alignment horizontal="center" readingOrder="0" vertical="center"/>
    </xf>
    <xf borderId="61" fillId="0" fontId="5" numFmtId="0" xfId="0" applyBorder="1" applyFont="1"/>
    <xf borderId="42" fillId="0" fontId="5" numFmtId="0" xfId="0" applyBorder="1" applyFont="1"/>
    <xf borderId="30" fillId="0" fontId="5" numFmtId="166" xfId="0" applyAlignment="1" applyBorder="1" applyFont="1" applyNumberFormat="1">
      <alignment readingOrder="0"/>
    </xf>
    <xf borderId="31" fillId="0" fontId="5" numFmtId="166" xfId="0" applyAlignment="1" applyBorder="1" applyFont="1" applyNumberFormat="1">
      <alignment readingOrder="0"/>
    </xf>
    <xf borderId="9" fillId="0" fontId="19" numFmtId="169" xfId="0" applyAlignment="1" applyBorder="1" applyFont="1" applyNumberFormat="1">
      <alignment horizontal="center" readingOrder="0" vertical="center"/>
    </xf>
    <xf borderId="29" fillId="8" fontId="19" numFmtId="0" xfId="0" applyAlignment="1" applyBorder="1" applyFont="1">
      <alignment horizontal="center" readingOrder="0"/>
    </xf>
    <xf borderId="30" fillId="8" fontId="19" numFmtId="0" xfId="0" applyAlignment="1" applyBorder="1" applyFont="1">
      <alignment horizontal="center" readingOrder="0"/>
    </xf>
    <xf borderId="18" fillId="5" fontId="7" numFmtId="0" xfId="0" applyAlignment="1" applyBorder="1" applyFont="1">
      <alignment horizontal="center" readingOrder="0"/>
    </xf>
    <xf borderId="3" fillId="0" fontId="22" numFmtId="0" xfId="0" applyAlignment="1" applyBorder="1" applyFont="1">
      <alignment horizontal="center" readingOrder="0" shrinkToFit="0" vertical="center" wrapText="1"/>
    </xf>
    <xf borderId="59" fillId="0" fontId="5" numFmtId="0" xfId="0" applyAlignment="1" applyBorder="1" applyFont="1">
      <alignment horizontal="center"/>
    </xf>
    <xf borderId="38" fillId="0" fontId="5" numFmtId="0" xfId="0" applyAlignment="1" applyBorder="1" applyFont="1">
      <alignment horizontal="center"/>
    </xf>
    <xf borderId="29" fillId="13" fontId="19" numFmtId="0" xfId="0" applyAlignment="1" applyBorder="1" applyFont="1">
      <alignment horizontal="center" readingOrder="0"/>
    </xf>
    <xf borderId="30" fillId="13" fontId="20" numFmtId="0" xfId="0" applyAlignment="1" applyBorder="1" applyFont="1">
      <alignment horizontal="center" readingOrder="0"/>
    </xf>
    <xf borderId="30" fillId="13" fontId="5" numFmtId="0" xfId="0" applyAlignment="1" applyBorder="1" applyFont="1">
      <alignment horizontal="center"/>
    </xf>
    <xf borderId="30" fillId="13" fontId="19" numFmtId="0" xfId="0" applyAlignment="1" applyBorder="1" applyFont="1">
      <alignment horizontal="center" readingOrder="0" vertical="center"/>
    </xf>
    <xf borderId="30" fillId="13" fontId="7" numFmtId="0" xfId="0" applyAlignment="1" applyBorder="1" applyFont="1">
      <alignment horizontal="center" readingOrder="0"/>
    </xf>
    <xf borderId="61" fillId="0" fontId="5" numFmtId="0" xfId="0" applyAlignment="1" applyBorder="1" applyFont="1">
      <alignment horizontal="center"/>
    </xf>
    <xf borderId="42" fillId="0" fontId="5" numFmtId="0" xfId="0" applyAlignment="1" applyBorder="1" applyFont="1">
      <alignment horizontal="center"/>
    </xf>
    <xf borderId="10" fillId="6" fontId="6" numFmtId="0" xfId="0" applyAlignment="1" applyBorder="1" applyFont="1">
      <alignment horizontal="center" shrinkToFit="0" vertical="center" wrapText="1"/>
    </xf>
    <xf borderId="7" fillId="6" fontId="20" numFmtId="0" xfId="0" applyAlignment="1" applyBorder="1" applyFont="1">
      <alignment horizontal="center" readingOrder="0"/>
    </xf>
    <xf borderId="7" fillId="6" fontId="17" numFmtId="0" xfId="0" applyAlignment="1" applyBorder="1" applyFont="1">
      <alignment horizontal="center" vertical="center"/>
    </xf>
    <xf borderId="21" fillId="5" fontId="6" numFmtId="0" xfId="0" applyAlignment="1" applyBorder="1" applyFont="1">
      <alignment horizontal="center" readingOrder="0" shrinkToFit="0" vertical="center" wrapText="1"/>
    </xf>
    <xf borderId="18" fillId="5" fontId="20" numFmtId="0" xfId="0" applyAlignment="1" applyBorder="1" applyFont="1">
      <alignment horizontal="center" readingOrder="0"/>
    </xf>
    <xf borderId="18" fillId="5" fontId="6" numFmtId="0" xfId="0" applyAlignment="1" applyBorder="1" applyFont="1">
      <alignment horizontal="center" readingOrder="0" vertical="center"/>
    </xf>
    <xf borderId="18" fillId="5" fontId="17" numFmtId="0" xfId="0" applyAlignment="1" applyBorder="1" applyFont="1">
      <alignment horizontal="center" vertical="center"/>
    </xf>
    <xf borderId="29" fillId="13" fontId="6" numFmtId="0" xfId="0" applyAlignment="1" applyBorder="1" applyFont="1">
      <alignment horizontal="center" readingOrder="0" shrinkToFit="0" vertical="center" wrapText="1"/>
    </xf>
    <xf borderId="30" fillId="13" fontId="5" numFmtId="0" xfId="0" applyBorder="1" applyFont="1"/>
    <xf borderId="30" fillId="13" fontId="6" numFmtId="0" xfId="0" applyAlignment="1" applyBorder="1" applyFont="1">
      <alignment horizontal="center" readingOrder="0" vertical="center"/>
    </xf>
    <xf borderId="30" fillId="13" fontId="17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vertical="center"/>
    </xf>
    <xf borderId="21" fillId="14" fontId="6" numFmtId="0" xfId="0" applyAlignment="1" applyBorder="1" applyFill="1" applyFont="1">
      <alignment horizontal="center" readingOrder="0" shrinkToFit="0" vertical="center" wrapText="1"/>
    </xf>
    <xf borderId="18" fillId="14" fontId="20" numFmtId="0" xfId="0" applyAlignment="1" applyBorder="1" applyFont="1">
      <alignment horizontal="center" readingOrder="0"/>
    </xf>
    <xf borderId="18" fillId="14" fontId="6" numFmtId="0" xfId="0" applyAlignment="1" applyBorder="1" applyFont="1">
      <alignment horizontal="center" readingOrder="0" vertical="center"/>
    </xf>
    <xf borderId="18" fillId="14" fontId="17" numFmtId="0" xfId="0" applyAlignment="1" applyBorder="1" applyFont="1">
      <alignment horizontal="center" vertical="center"/>
    </xf>
    <xf borderId="29" fillId="11" fontId="6" numFmtId="0" xfId="0" applyAlignment="1" applyBorder="1" applyFont="1">
      <alignment horizontal="center" readingOrder="0" shrinkToFit="0" vertical="center" wrapText="1"/>
    </xf>
    <xf borderId="30" fillId="11" fontId="20" numFmtId="0" xfId="0" applyAlignment="1" applyBorder="1" applyFont="1">
      <alignment horizontal="center" readingOrder="0"/>
    </xf>
    <xf borderId="30" fillId="11" fontId="5" numFmtId="0" xfId="0" applyBorder="1" applyFont="1"/>
    <xf borderId="30" fillId="11" fontId="6" numFmtId="0" xfId="0" applyAlignment="1" applyBorder="1" applyFont="1">
      <alignment horizontal="center" readingOrder="0" vertical="center"/>
    </xf>
    <xf borderId="30" fillId="11" fontId="17" numFmtId="0" xfId="0" applyAlignment="1" applyBorder="1" applyFont="1">
      <alignment horizontal="center" vertical="center"/>
    </xf>
    <xf borderId="7" fillId="6" fontId="20" numFmtId="0" xfId="0" applyAlignment="1" applyBorder="1" applyFont="1">
      <alignment horizontal="center" readingOrder="0" vertical="center"/>
    </xf>
    <xf borderId="21" fillId="13" fontId="6" numFmtId="0" xfId="0" applyAlignment="1" applyBorder="1" applyFont="1">
      <alignment horizontal="center" readingOrder="0" shrinkToFit="0" vertical="center" wrapText="1"/>
    </xf>
    <xf borderId="18" fillId="13" fontId="20" numFmtId="0" xfId="0" applyAlignment="1" applyBorder="1" applyFont="1">
      <alignment horizontal="center" readingOrder="0"/>
    </xf>
    <xf borderId="18" fillId="13" fontId="5" numFmtId="0" xfId="0" applyBorder="1" applyFont="1"/>
    <xf borderId="18" fillId="13" fontId="6" numFmtId="0" xfId="0" applyAlignment="1" applyBorder="1" applyFont="1">
      <alignment horizontal="center" vertical="center"/>
    </xf>
    <xf borderId="18" fillId="13" fontId="17" numFmtId="0" xfId="0" applyAlignment="1" applyBorder="1" applyFont="1">
      <alignment horizontal="center" vertical="center"/>
    </xf>
    <xf borderId="69" fillId="0" fontId="5" numFmtId="166" xfId="0" applyAlignment="1" applyBorder="1" applyFont="1" applyNumberFormat="1">
      <alignment readingOrder="0"/>
    </xf>
    <xf borderId="67" fillId="0" fontId="5" numFmtId="166" xfId="0" applyAlignment="1" applyBorder="1" applyFont="1" applyNumberFormat="1">
      <alignment readingOrder="0"/>
    </xf>
    <xf borderId="54" fillId="0" fontId="5" numFmtId="166" xfId="0" applyAlignment="1" applyBorder="1" applyFont="1" applyNumberFormat="1">
      <alignment readingOrder="0"/>
    </xf>
    <xf borderId="18" fillId="7" fontId="17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4" fillId="4" fontId="2" numFmtId="0" xfId="0" applyAlignment="1" applyBorder="1" applyFont="1">
      <alignment horizontal="center"/>
    </xf>
    <xf borderId="46" fillId="4" fontId="2" numFmtId="0" xfId="0" applyAlignment="1" applyBorder="1" applyFont="1">
      <alignment horizontal="center"/>
    </xf>
    <xf borderId="45" fillId="4" fontId="2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2" fillId="0" fontId="6" numFmtId="164" xfId="0" applyAlignment="1" applyBorder="1" applyFont="1" applyNumberFormat="1">
      <alignment horizontal="center" shrinkToFit="0" wrapText="1"/>
    </xf>
    <xf borderId="7" fillId="15" fontId="6" numFmtId="0" xfId="0" applyAlignment="1" applyBorder="1" applyFill="1" applyFont="1">
      <alignment shrinkToFit="0" wrapText="1"/>
    </xf>
    <xf borderId="7" fillId="15" fontId="2" numFmtId="0" xfId="0" applyAlignment="1" applyBorder="1" applyFont="1">
      <alignment horizontal="center" shrinkToFit="0" wrapText="1"/>
    </xf>
    <xf borderId="7" fillId="15" fontId="4" numFmtId="0" xfId="0" applyBorder="1" applyFont="1"/>
    <xf borderId="7" fillId="15" fontId="6" numFmtId="0" xfId="0" applyAlignment="1" applyBorder="1" applyFont="1">
      <alignment horizontal="center" shrinkToFit="0" wrapText="1"/>
    </xf>
    <xf borderId="7" fillId="15" fontId="24" numFmtId="0" xfId="0" applyAlignment="1" applyBorder="1" applyFont="1">
      <alignment horizontal="center" shrinkToFit="0" wrapText="1"/>
    </xf>
    <xf borderId="3" fillId="3" fontId="2" numFmtId="0" xfId="0" applyAlignment="1" applyBorder="1" applyFont="1">
      <alignment horizontal="center" shrinkToFit="0" wrapText="1"/>
    </xf>
    <xf borderId="18" fillId="3" fontId="6" numFmtId="0" xfId="0" applyAlignment="1" applyBorder="1" applyFont="1">
      <alignment shrinkToFit="0" wrapText="1"/>
    </xf>
    <xf borderId="18" fillId="3" fontId="2" numFmtId="0" xfId="0" applyAlignment="1" applyBorder="1" applyFont="1">
      <alignment horizontal="center" shrinkToFit="0" wrapText="1"/>
    </xf>
    <xf borderId="18" fillId="3" fontId="25" numFmtId="0" xfId="0" applyAlignment="1" applyBorder="1" applyFont="1">
      <alignment horizontal="center" shrinkToFit="0" wrapText="1"/>
    </xf>
    <xf borderId="18" fillId="3" fontId="6" numFmtId="0" xfId="0" applyAlignment="1" applyBorder="1" applyFont="1">
      <alignment horizontal="center" shrinkToFit="0" wrapText="1"/>
    </xf>
    <xf borderId="18" fillId="3" fontId="24" numFmtId="0" xfId="0" applyAlignment="1" applyBorder="1" applyFont="1">
      <alignment horizontal="center" shrinkToFit="0" wrapText="1"/>
    </xf>
    <xf borderId="30" fillId="3" fontId="6" numFmtId="0" xfId="0" applyAlignment="1" applyBorder="1" applyFont="1">
      <alignment shrinkToFit="0" wrapText="1"/>
    </xf>
    <xf borderId="30" fillId="3" fontId="6" numFmtId="0" xfId="0" applyAlignment="1" applyBorder="1" applyFont="1">
      <alignment horizontal="center" shrinkToFit="0" wrapText="1"/>
    </xf>
    <xf borderId="30" fillId="3" fontId="24" numFmtId="0" xfId="0" applyAlignment="1" applyBorder="1" applyFont="1">
      <alignment horizontal="center" shrinkToFit="0" wrapText="1"/>
    </xf>
    <xf borderId="18" fillId="9" fontId="6" numFmtId="0" xfId="0" applyAlignment="1" applyBorder="1" applyFont="1">
      <alignment shrinkToFit="0" wrapText="1"/>
    </xf>
    <xf borderId="18" fillId="9" fontId="6" numFmtId="0" xfId="0" applyAlignment="1" applyBorder="1" applyFont="1">
      <alignment horizontal="center" shrinkToFit="0" wrapText="1"/>
    </xf>
    <xf borderId="18" fillId="9" fontId="24" numFmtId="0" xfId="0" applyAlignment="1" applyBorder="1" applyFont="1">
      <alignment horizontal="center" shrinkToFit="0" wrapText="1"/>
    </xf>
    <xf borderId="24" fillId="6" fontId="6" numFmtId="0" xfId="0" applyAlignment="1" applyBorder="1" applyFont="1">
      <alignment shrinkToFit="0" wrapText="1"/>
    </xf>
    <xf borderId="18" fillId="6" fontId="2" numFmtId="0" xfId="0" applyAlignment="1" applyBorder="1" applyFont="1">
      <alignment horizontal="center" shrinkToFit="0" wrapText="1"/>
    </xf>
    <xf borderId="18" fillId="6" fontId="6" numFmtId="0" xfId="0" applyAlignment="1" applyBorder="1" applyFont="1">
      <alignment horizontal="center" shrinkToFit="0" wrapText="1"/>
    </xf>
    <xf borderId="18" fillId="6" fontId="7" numFmtId="0" xfId="0" applyAlignment="1" applyBorder="1" applyFont="1">
      <alignment horizontal="center" shrinkToFit="0" wrapText="1"/>
    </xf>
    <xf borderId="19" fillId="6" fontId="2" numFmtId="0" xfId="0" applyAlignment="1" applyBorder="1" applyFont="1">
      <alignment horizontal="center" shrinkToFit="0" wrapText="1"/>
    </xf>
    <xf borderId="34" fillId="3" fontId="6" numFmtId="0" xfId="0" applyAlignment="1" applyBorder="1" applyFont="1">
      <alignment shrinkToFit="0" wrapText="1"/>
    </xf>
    <xf borderId="30" fillId="3" fontId="7" numFmtId="0" xfId="0" applyAlignment="1" applyBorder="1" applyFont="1">
      <alignment horizontal="center" shrinkToFit="0" wrapText="1"/>
    </xf>
    <xf borderId="31" fillId="3" fontId="2" numFmtId="0" xfId="0" applyAlignment="1" applyBorder="1" applyFont="1">
      <alignment horizontal="center" shrinkToFit="0" wrapText="1"/>
    </xf>
    <xf borderId="7" fillId="6" fontId="6" numFmtId="0" xfId="0" applyAlignment="1" applyBorder="1" applyFont="1">
      <alignment shrinkToFit="0" wrapText="1"/>
    </xf>
    <xf borderId="7" fillId="6" fontId="2" numFmtId="0" xfId="0" applyAlignment="1" applyBorder="1" applyFont="1">
      <alignment horizontal="center" shrinkToFit="0" wrapText="1"/>
    </xf>
    <xf borderId="7" fillId="6" fontId="4" numFmtId="0" xfId="0" applyBorder="1" applyFont="1"/>
    <xf borderId="7" fillId="6" fontId="6" numFmtId="0" xfId="0" applyAlignment="1" applyBorder="1" applyFont="1">
      <alignment horizontal="center" shrinkToFit="0" wrapText="1"/>
    </xf>
    <xf borderId="7" fillId="6" fontId="24" numFmtId="0" xfId="0" applyAlignment="1" applyBorder="1" applyFont="1">
      <alignment horizontal="center" shrinkToFit="0" wrapText="1"/>
    </xf>
    <xf borderId="67" fillId="8" fontId="6" numFmtId="0" xfId="0" applyAlignment="1" applyBorder="1" applyFont="1">
      <alignment shrinkToFit="0" wrapText="1"/>
    </xf>
    <xf borderId="67" fillId="8" fontId="2" numFmtId="0" xfId="0" applyAlignment="1" applyBorder="1" applyFont="1">
      <alignment horizontal="center" shrinkToFit="0" wrapText="1"/>
    </xf>
    <xf borderId="67" fillId="8" fontId="6" numFmtId="0" xfId="0" applyAlignment="1" applyBorder="1" applyFont="1">
      <alignment horizontal="center" shrinkToFit="0" wrapText="1"/>
    </xf>
    <xf borderId="18" fillId="8" fontId="24" numFmtId="0" xfId="0" applyAlignment="1" applyBorder="1" applyFont="1">
      <alignment horizontal="center" shrinkToFit="0" wrapText="1"/>
    </xf>
    <xf borderId="18" fillId="5" fontId="6" numFmtId="0" xfId="0" applyAlignment="1" applyBorder="1" applyFont="1">
      <alignment shrinkToFit="0" wrapText="1"/>
    </xf>
    <xf borderId="18" fillId="5" fontId="2" numFmtId="0" xfId="0" applyAlignment="1" applyBorder="1" applyFont="1">
      <alignment horizontal="center" shrinkToFit="0" wrapText="1"/>
    </xf>
    <xf borderId="18" fillId="5" fontId="4" numFmtId="0" xfId="0" applyBorder="1" applyFont="1"/>
    <xf borderId="18" fillId="5" fontId="6" numFmtId="0" xfId="0" applyAlignment="1" applyBorder="1" applyFont="1">
      <alignment horizontal="center" shrinkToFit="0" wrapText="1"/>
    </xf>
    <xf borderId="18" fillId="5" fontId="24" numFmtId="0" xfId="0" applyAlignment="1" applyBorder="1" applyFont="1">
      <alignment horizontal="center" shrinkToFit="0" wrapText="1"/>
    </xf>
    <xf borderId="30" fillId="15" fontId="6" numFmtId="0" xfId="0" applyAlignment="1" applyBorder="1" applyFont="1">
      <alignment shrinkToFit="0" wrapText="1"/>
    </xf>
    <xf borderId="30" fillId="15" fontId="2" numFmtId="0" xfId="0" applyAlignment="1" applyBorder="1" applyFont="1">
      <alignment horizontal="center" shrinkToFit="0" wrapText="1"/>
    </xf>
    <xf borderId="30" fillId="15" fontId="26" numFmtId="0" xfId="0" applyAlignment="1" applyBorder="1" applyFont="1">
      <alignment horizontal="center" shrinkToFit="0" wrapText="1"/>
    </xf>
    <xf borderId="30" fillId="15" fontId="6" numFmtId="0" xfId="0" applyAlignment="1" applyBorder="1" applyFont="1">
      <alignment horizontal="center" shrinkToFit="0" wrapText="1"/>
    </xf>
    <xf borderId="30" fillId="15" fontId="24" numFmtId="0" xfId="0" applyAlignment="1" applyBorder="1" applyFont="1">
      <alignment horizontal="center" shrinkToFit="0" wrapText="1"/>
    </xf>
    <xf borderId="2" fillId="6" fontId="6" numFmtId="0" xfId="0" applyAlignment="1" applyBorder="1" applyFont="1">
      <alignment shrinkToFit="0" wrapText="1"/>
    </xf>
    <xf borderId="2" fillId="6" fontId="2" numFmtId="0" xfId="0" applyAlignment="1" applyBorder="1" applyFont="1">
      <alignment horizontal="center" shrinkToFit="0" wrapText="1"/>
    </xf>
    <xf borderId="2" fillId="6" fontId="4" numFmtId="0" xfId="0" applyBorder="1" applyFont="1"/>
    <xf borderId="2" fillId="6" fontId="6" numFmtId="0" xfId="0" applyAlignment="1" applyBorder="1" applyFont="1">
      <alignment horizontal="center" shrinkToFit="0" wrapText="1"/>
    </xf>
    <xf borderId="2" fillId="6" fontId="24" numFmtId="0" xfId="0" applyAlignment="1" applyBorder="1" applyFont="1">
      <alignment horizontal="center" shrinkToFit="0" wrapText="1"/>
    </xf>
    <xf borderId="53" fillId="15" fontId="6" numFmtId="0" xfId="0" applyAlignment="1" applyBorder="1" applyFont="1">
      <alignment shrinkToFit="0" wrapText="1"/>
    </xf>
    <xf borderId="53" fillId="15" fontId="2" numFmtId="0" xfId="0" applyAlignment="1" applyBorder="1" applyFont="1">
      <alignment horizontal="center" shrinkToFit="0" wrapText="1"/>
    </xf>
    <xf borderId="53" fillId="15" fontId="6" numFmtId="0" xfId="0" applyAlignment="1" applyBorder="1" applyFont="1">
      <alignment horizontal="center" shrinkToFit="0" wrapText="1"/>
    </xf>
    <xf borderId="53" fillId="15" fontId="24" numFmtId="0" xfId="0" applyAlignment="1" applyBorder="1" applyFont="1">
      <alignment horizontal="center" shrinkToFit="0" wrapText="1"/>
    </xf>
    <xf borderId="18" fillId="3" fontId="26" numFmtId="0" xfId="0" applyAlignment="1" applyBorder="1" applyFont="1">
      <alignment horizontal="center" shrinkToFit="0" wrapText="1"/>
    </xf>
    <xf borderId="18" fillId="9" fontId="7" numFmtId="0" xfId="0" applyAlignment="1" applyBorder="1" applyFont="1">
      <alignment horizontal="center" shrinkToFit="0" wrapText="1"/>
    </xf>
    <xf borderId="68" fillId="3" fontId="2" numFmtId="0" xfId="0" applyAlignment="1" applyBorder="1" applyFont="1">
      <alignment horizontal="center" shrinkToFit="0" wrapText="1"/>
    </xf>
    <xf borderId="18" fillId="3" fontId="4" numFmtId="0" xfId="0" applyBorder="1" applyFont="1"/>
    <xf borderId="18" fillId="3" fontId="7" numFmtId="0" xfId="0" applyAlignment="1" applyBorder="1" applyFont="1">
      <alignment horizontal="center" shrinkToFit="0" wrapText="1"/>
    </xf>
    <xf borderId="9" fillId="0" fontId="6" numFmtId="164" xfId="0" applyAlignment="1" applyBorder="1" applyFont="1" applyNumberFormat="1">
      <alignment horizontal="center" shrinkToFit="0" wrapText="1"/>
    </xf>
    <xf borderId="7" fillId="3" fontId="6" numFmtId="0" xfId="0" applyAlignment="1" applyBorder="1" applyFont="1">
      <alignment shrinkToFit="0" wrapText="1"/>
    </xf>
    <xf borderId="7" fillId="3" fontId="2" numFmtId="0" xfId="0" applyAlignment="1" applyBorder="1" applyFont="1">
      <alignment horizontal="center" shrinkToFit="0" wrapText="1"/>
    </xf>
    <xf borderId="7" fillId="3" fontId="6" numFmtId="0" xfId="0" applyAlignment="1" applyBorder="1" applyFont="1">
      <alignment horizontal="center" shrinkToFit="0" wrapText="1"/>
    </xf>
    <xf borderId="7" fillId="3" fontId="24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18" fillId="6" fontId="6" numFmtId="0" xfId="0" applyAlignment="1" applyBorder="1" applyFont="1">
      <alignment shrinkToFit="0" wrapText="1"/>
    </xf>
    <xf borderId="18" fillId="6" fontId="24" numFmtId="0" xfId="0" applyAlignment="1" applyBorder="1" applyFont="1">
      <alignment horizontal="center" shrinkToFit="0" wrapText="1"/>
    </xf>
    <xf borderId="18" fillId="0" fontId="6" numFmtId="0" xfId="0" applyAlignment="1" applyBorder="1" applyFont="1">
      <alignment shrinkToFit="0" wrapText="1"/>
    </xf>
    <xf borderId="18" fillId="0" fontId="4" numFmtId="0" xfId="0" applyBorder="1" applyFont="1"/>
    <xf borderId="18" fillId="0" fontId="6" numFmtId="0" xfId="0" applyAlignment="1" applyBorder="1" applyFont="1">
      <alignment horizontal="center" shrinkToFit="0" wrapText="1"/>
    </xf>
    <xf borderId="18" fillId="0" fontId="7" numFmtId="0" xfId="0" applyAlignment="1" applyBorder="1" applyFont="1">
      <alignment horizontal="center" shrinkToFit="0" wrapText="1"/>
    </xf>
    <xf borderId="68" fillId="0" fontId="2" numFmtId="0" xfId="0" applyAlignment="1" applyBorder="1" applyFont="1">
      <alignment horizontal="center" shrinkToFit="0" wrapText="1"/>
    </xf>
    <xf borderId="53" fillId="3" fontId="6" numFmtId="0" xfId="0" applyAlignment="1" applyBorder="1" applyFont="1">
      <alignment shrinkToFit="0" wrapText="1"/>
    </xf>
    <xf borderId="53" fillId="3" fontId="2" numFmtId="0" xfId="0" applyAlignment="1" applyBorder="1" applyFont="1">
      <alignment horizontal="center" shrinkToFit="0" wrapText="1"/>
    </xf>
    <xf borderId="53" fillId="3" fontId="25" numFmtId="0" xfId="0" applyAlignment="1" applyBorder="1" applyFont="1">
      <alignment horizontal="center" shrinkToFit="0" wrapText="1"/>
    </xf>
    <xf borderId="53" fillId="3" fontId="6" numFmtId="0" xfId="0" applyAlignment="1" applyBorder="1" applyFont="1">
      <alignment horizontal="center" shrinkToFit="0" wrapText="1"/>
    </xf>
    <xf borderId="53" fillId="3" fontId="7" numFmtId="0" xfId="0" applyAlignment="1" applyBorder="1" applyFont="1">
      <alignment horizontal="center" shrinkToFit="0" wrapText="1"/>
    </xf>
    <xf borderId="2" fillId="15" fontId="4" numFmtId="0" xfId="0" applyBorder="1" applyFont="1"/>
    <xf borderId="53" fillId="3" fontId="24" numFmtId="0" xfId="0" applyAlignment="1" applyBorder="1" applyFont="1">
      <alignment horizontal="center" shrinkToFit="0" wrapText="1"/>
    </xf>
    <xf borderId="30" fillId="8" fontId="6" numFmtId="0" xfId="0" applyAlignment="1" applyBorder="1" applyFont="1">
      <alignment shrinkToFit="0" wrapText="1"/>
    </xf>
    <xf borderId="30" fillId="8" fontId="2" numFmtId="0" xfId="0" applyAlignment="1" applyBorder="1" applyFont="1">
      <alignment horizontal="center" shrinkToFit="0" wrapText="1"/>
    </xf>
    <xf borderId="30" fillId="8" fontId="6" numFmtId="0" xfId="0" applyAlignment="1" applyBorder="1" applyFont="1">
      <alignment horizontal="center" shrinkToFit="0" wrapText="1"/>
    </xf>
    <xf borderId="30" fillId="8" fontId="24" numFmtId="0" xfId="0" applyAlignment="1" applyBorder="1" applyFont="1">
      <alignment horizontal="center" shrinkToFit="0" wrapText="1"/>
    </xf>
    <xf borderId="2" fillId="3" fontId="6" numFmtId="171" xfId="0" applyAlignment="1" applyBorder="1" applyFont="1" applyNumberFormat="1">
      <alignment horizontal="center" shrinkToFit="0" wrapText="1"/>
    </xf>
    <xf borderId="18" fillId="8" fontId="6" numFmtId="0" xfId="0" applyAlignment="1" applyBorder="1" applyFont="1">
      <alignment shrinkToFit="0" wrapText="1"/>
    </xf>
    <xf borderId="18" fillId="8" fontId="6" numFmtId="0" xfId="0" applyAlignment="1" applyBorder="1" applyFont="1">
      <alignment horizontal="center" shrinkToFit="0" wrapText="1"/>
    </xf>
    <xf borderId="18" fillId="15" fontId="6" numFmtId="0" xfId="0" applyAlignment="1" applyBorder="1" applyFont="1">
      <alignment shrinkToFit="0" wrapText="1"/>
    </xf>
    <xf borderId="18" fillId="15" fontId="2" numFmtId="0" xfId="0" applyAlignment="1" applyBorder="1" applyFont="1">
      <alignment horizontal="center" shrinkToFit="0" wrapText="1"/>
    </xf>
    <xf borderId="18" fillId="15" fontId="4" numFmtId="0" xfId="0" applyBorder="1" applyFont="1"/>
    <xf borderId="18" fillId="15" fontId="6" numFmtId="0" xfId="0" applyAlignment="1" applyBorder="1" applyFont="1">
      <alignment horizontal="center" shrinkToFit="0" wrapText="1"/>
    </xf>
    <xf borderId="18" fillId="15" fontId="24" numFmtId="0" xfId="0" applyAlignment="1" applyBorder="1" applyFont="1">
      <alignment horizontal="center" shrinkToFit="0" wrapText="1"/>
    </xf>
    <xf borderId="59" fillId="0" fontId="6" numFmtId="0" xfId="0" applyAlignment="1" applyBorder="1" applyFont="1">
      <alignment horizontal="center" shrinkToFit="0" wrapText="1"/>
    </xf>
    <xf borderId="1" fillId="0" fontId="6" numFmtId="165" xfId="0" applyAlignment="1" applyBorder="1" applyFont="1" applyNumberFormat="1">
      <alignment horizontal="center"/>
    </xf>
    <xf borderId="7" fillId="3" fontId="6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7" fillId="3" fontId="4" numFmtId="0" xfId="0" applyAlignment="1" applyBorder="1" applyFont="1">
      <alignment vertical="bottom"/>
    </xf>
    <xf borderId="7" fillId="3" fontId="7" numFmtId="0" xfId="0" applyAlignment="1" applyBorder="1" applyFont="1">
      <alignment horizontal="center" shrinkToFit="0" wrapText="1"/>
    </xf>
    <xf borderId="7" fillId="3" fontId="4" numFmtId="0" xfId="0" applyBorder="1" applyFont="1"/>
    <xf borderId="12" fillId="0" fontId="4" numFmtId="0" xfId="0" applyAlignment="1" applyBorder="1" applyFont="1">
      <alignment vertical="bottom"/>
    </xf>
    <xf borderId="67" fillId="3" fontId="6" numFmtId="0" xfId="0" applyAlignment="1" applyBorder="1" applyFont="1">
      <alignment horizontal="center"/>
    </xf>
    <xf borderId="67" fillId="3" fontId="2" numFmtId="0" xfId="0" applyAlignment="1" applyBorder="1" applyFont="1">
      <alignment horizontal="center"/>
    </xf>
    <xf borderId="67" fillId="3" fontId="2" numFmtId="0" xfId="0" applyAlignment="1" applyBorder="1" applyFont="1">
      <alignment horizontal="center" vertical="bottom"/>
    </xf>
    <xf borderId="67" fillId="3" fontId="6" numFmtId="0" xfId="0" applyAlignment="1" applyBorder="1" applyFont="1">
      <alignment horizontal="center" shrinkToFit="0" wrapText="1"/>
    </xf>
    <xf borderId="67" fillId="3" fontId="7" numFmtId="0" xfId="0" applyAlignment="1" applyBorder="1" applyFont="1">
      <alignment horizontal="center" shrinkToFit="0" wrapText="1"/>
    </xf>
    <xf borderId="67" fillId="3" fontId="4" numFmtId="0" xfId="0" applyBorder="1" applyFont="1"/>
    <xf borderId="51" fillId="0" fontId="4" numFmtId="0" xfId="0" applyAlignment="1" applyBorder="1" applyFont="1">
      <alignment vertical="bottom"/>
    </xf>
    <xf borderId="18" fillId="6" fontId="2" numFmtId="0" xfId="0" applyAlignment="1" applyBorder="1" applyFont="1">
      <alignment horizontal="center" vertical="bottom"/>
    </xf>
    <xf borderId="67" fillId="6" fontId="4" numFmtId="0" xfId="0" applyBorder="1" applyFont="1"/>
    <xf borderId="23" fillId="6" fontId="4" numFmtId="0" xfId="0" applyAlignment="1" applyBorder="1" applyFont="1">
      <alignment vertical="bottom"/>
    </xf>
    <xf borderId="18" fillId="16" fontId="6" numFmtId="0" xfId="0" applyAlignment="1" applyBorder="1" applyFill="1" applyFont="1">
      <alignment horizontal="center"/>
    </xf>
    <xf borderId="18" fillId="16" fontId="2" numFmtId="0" xfId="0" applyAlignment="1" applyBorder="1" applyFont="1">
      <alignment horizontal="center"/>
    </xf>
    <xf borderId="18" fillId="16" fontId="4" numFmtId="0" xfId="0" applyAlignment="1" applyBorder="1" applyFont="1">
      <alignment vertical="bottom"/>
    </xf>
    <xf borderId="18" fillId="16" fontId="6" numFmtId="0" xfId="0" applyAlignment="1" applyBorder="1" applyFont="1">
      <alignment horizontal="center" shrinkToFit="0" wrapText="1"/>
    </xf>
    <xf borderId="18" fillId="16" fontId="7" numFmtId="0" xfId="0" applyAlignment="1" applyBorder="1" applyFont="1">
      <alignment horizontal="center" shrinkToFit="0" wrapText="1"/>
    </xf>
    <xf borderId="67" fillId="16" fontId="4" numFmtId="0" xfId="0" applyBorder="1" applyFont="1"/>
    <xf borderId="23" fillId="16" fontId="4" numFmtId="0" xfId="0" applyAlignment="1" applyBorder="1" applyFont="1">
      <alignment vertical="bottom"/>
    </xf>
    <xf borderId="18" fillId="3" fontId="6" numFmtId="0" xfId="0" applyAlignment="1" applyBorder="1" applyFont="1">
      <alignment horizontal="center"/>
    </xf>
    <xf borderId="18" fillId="3" fontId="2" numFmtId="0" xfId="0" applyAlignment="1" applyBorder="1" applyFont="1">
      <alignment horizontal="center"/>
    </xf>
    <xf borderId="53" fillId="3" fontId="4" numFmtId="0" xfId="0" applyBorder="1" applyFont="1"/>
    <xf borderId="23" fillId="0" fontId="4" numFmtId="0" xfId="0" applyAlignment="1" applyBorder="1" applyFont="1">
      <alignment vertical="bottom"/>
    </xf>
    <xf borderId="18" fillId="9" fontId="2" numFmtId="0" xfId="0" applyAlignment="1" applyBorder="1" applyFont="1">
      <alignment horizontal="center"/>
    </xf>
    <xf borderId="18" fillId="9" fontId="4" numFmtId="0" xfId="0" applyAlignment="1" applyBorder="1" applyFont="1">
      <alignment vertical="bottom"/>
    </xf>
    <xf borderId="53" fillId="9" fontId="4" numFmtId="0" xfId="0" applyBorder="1" applyFont="1"/>
    <xf borderId="23" fillId="9" fontId="4" numFmtId="0" xfId="0" applyBorder="1" applyFont="1"/>
    <xf borderId="18" fillId="5" fontId="6" numFmtId="0" xfId="0" applyAlignment="1" applyBorder="1" applyFont="1">
      <alignment horizontal="center"/>
    </xf>
    <xf borderId="18" fillId="5" fontId="2" numFmtId="0" xfId="0" applyAlignment="1" applyBorder="1" applyFont="1">
      <alignment horizontal="center"/>
    </xf>
    <xf borderId="53" fillId="5" fontId="4" numFmtId="0" xfId="0" applyBorder="1" applyFont="1"/>
    <xf borderId="23" fillId="5" fontId="4" numFmtId="0" xfId="0" applyBorder="1" applyFont="1"/>
    <xf borderId="30" fillId="3" fontId="6" numFmtId="0" xfId="0" applyAlignment="1" applyBorder="1" applyFont="1">
      <alignment horizontal="center"/>
    </xf>
    <xf borderId="33" fillId="0" fontId="4" numFmtId="0" xfId="0" applyAlignment="1" applyBorder="1" applyFont="1">
      <alignment vertical="bottom"/>
    </xf>
    <xf borderId="15" fillId="3" fontId="6" numFmtId="0" xfId="0" applyAlignment="1" applyBorder="1" applyFont="1">
      <alignment horizontal="center" shrinkToFit="0" wrapText="1"/>
    </xf>
    <xf borderId="7" fillId="9" fontId="6" numFmtId="0" xfId="0" applyAlignment="1" applyBorder="1" applyFont="1">
      <alignment horizontal="center" shrinkToFit="0" wrapText="1"/>
    </xf>
    <xf borderId="7" fillId="9" fontId="2" numFmtId="0" xfId="0" applyAlignment="1" applyBorder="1" applyFont="1">
      <alignment horizontal="center"/>
    </xf>
    <xf borderId="7" fillId="9" fontId="4" numFmtId="0" xfId="0" applyBorder="1" applyFont="1"/>
    <xf borderId="7" fillId="9" fontId="24" numFmtId="0" xfId="0" applyAlignment="1" applyBorder="1" applyFont="1">
      <alignment horizontal="center" shrinkToFit="0" wrapText="1"/>
    </xf>
    <xf borderId="7" fillId="9" fontId="2" numFmtId="0" xfId="0" applyAlignment="1" applyBorder="1" applyFont="1">
      <alignment horizontal="center" shrinkToFit="0" wrapText="1"/>
    </xf>
    <xf borderId="12" fillId="9" fontId="4" numFmtId="0" xfId="0" applyAlignment="1" applyBorder="1" applyFont="1">
      <alignment vertical="bottom"/>
    </xf>
    <xf borderId="67" fillId="6" fontId="6" numFmtId="3" xfId="0" applyAlignment="1" applyBorder="1" applyFont="1" applyNumberFormat="1">
      <alignment horizontal="center" shrinkToFit="0" wrapText="1"/>
    </xf>
    <xf borderId="67" fillId="6" fontId="2" numFmtId="3" xfId="0" applyAlignment="1" applyBorder="1" applyFont="1" applyNumberFormat="1">
      <alignment horizontal="center" shrinkToFit="0" wrapText="1"/>
    </xf>
    <xf borderId="30" fillId="16" fontId="6" numFmtId="0" xfId="0" applyAlignment="1" applyBorder="1" applyFont="1">
      <alignment horizontal="center"/>
    </xf>
    <xf borderId="30" fillId="16" fontId="2" numFmtId="0" xfId="0" applyAlignment="1" applyBorder="1" applyFont="1">
      <alignment horizontal="center"/>
    </xf>
    <xf borderId="30" fillId="16" fontId="4" numFmtId="0" xfId="0" applyBorder="1" applyFont="1"/>
    <xf borderId="30" fillId="16" fontId="6" numFmtId="0" xfId="0" applyAlignment="1" applyBorder="1" applyFont="1">
      <alignment horizontal="center" shrinkToFit="0" wrapText="1"/>
    </xf>
    <xf borderId="30" fillId="16" fontId="7" numFmtId="0" xfId="0" applyAlignment="1" applyBorder="1" applyFont="1">
      <alignment horizontal="center" shrinkToFit="0" wrapText="1"/>
    </xf>
    <xf borderId="30" fillId="16" fontId="2" numFmtId="3" xfId="0" applyAlignment="1" applyBorder="1" applyFont="1" applyNumberFormat="1">
      <alignment horizontal="center" shrinkToFit="0" wrapText="1"/>
    </xf>
    <xf borderId="31" fillId="16" fontId="9" numFmtId="0" xfId="0" applyAlignment="1" applyBorder="1" applyFont="1">
      <alignment horizontal="center" shrinkToFit="0" wrapText="1"/>
    </xf>
    <xf borderId="7" fillId="6" fontId="2" numFmtId="0" xfId="0" applyAlignment="1" applyBorder="1" applyFont="1">
      <alignment horizontal="center"/>
    </xf>
    <xf borderId="12" fillId="6" fontId="4" numFmtId="0" xfId="0" applyAlignment="1" applyBorder="1" applyFont="1">
      <alignment vertical="bottom"/>
    </xf>
    <xf borderId="18" fillId="16" fontId="24" numFmtId="0" xfId="0" applyAlignment="1" applyBorder="1" applyFont="1">
      <alignment horizontal="center" shrinkToFit="0" wrapText="1"/>
    </xf>
    <xf borderId="17" fillId="16" fontId="6" numFmtId="3" xfId="0" applyAlignment="1" applyBorder="1" applyFont="1" applyNumberFormat="1">
      <alignment horizontal="center" shrinkToFit="0" wrapText="1"/>
    </xf>
    <xf borderId="17" fillId="16" fontId="2" numFmtId="3" xfId="0" applyAlignment="1" applyBorder="1" applyFont="1" applyNumberFormat="1">
      <alignment horizontal="center" shrinkToFit="0" wrapText="1"/>
    </xf>
    <xf borderId="17" fillId="5" fontId="4" numFmtId="0" xfId="0" applyBorder="1" applyFont="1"/>
    <xf borderId="23" fillId="5" fontId="4" numFmtId="0" xfId="0" applyAlignment="1" applyBorder="1" applyFont="1">
      <alignment vertical="bottom"/>
    </xf>
    <xf borderId="30" fillId="9" fontId="6" numFmtId="0" xfId="0" applyAlignment="1" applyBorder="1" applyFont="1">
      <alignment horizontal="center" shrinkToFit="0" wrapText="1"/>
    </xf>
    <xf borderId="30" fillId="9" fontId="2" numFmtId="0" xfId="0" applyAlignment="1" applyBorder="1" applyFont="1">
      <alignment horizontal="center"/>
    </xf>
    <xf borderId="30" fillId="9" fontId="24" numFmtId="0" xfId="0" applyAlignment="1" applyBorder="1" applyFont="1">
      <alignment horizontal="center" shrinkToFit="0" wrapText="1"/>
    </xf>
    <xf borderId="37" fillId="9" fontId="6" numFmtId="3" xfId="0" applyAlignment="1" applyBorder="1" applyFont="1" applyNumberFormat="1">
      <alignment horizontal="center" shrinkToFit="0" wrapText="1"/>
    </xf>
    <xf borderId="37" fillId="9" fontId="2" numFmtId="3" xfId="0" applyAlignment="1" applyBorder="1" applyFont="1" applyNumberFormat="1">
      <alignment horizontal="center" shrinkToFit="0" wrapText="1"/>
    </xf>
    <xf borderId="33" fillId="9" fontId="4" numFmtId="0" xfId="0" applyAlignment="1" applyBorder="1" applyFont="1">
      <alignment vertical="bottom"/>
    </xf>
    <xf borderId="7" fillId="16" fontId="6" numFmtId="0" xfId="0" applyAlignment="1" applyBorder="1" applyFont="1">
      <alignment horizontal="center" shrinkToFit="0" wrapText="1"/>
    </xf>
    <xf borderId="7" fillId="16" fontId="2" numFmtId="0" xfId="0" applyAlignment="1" applyBorder="1" applyFont="1">
      <alignment horizontal="center"/>
    </xf>
    <xf borderId="7" fillId="16" fontId="4" numFmtId="0" xfId="0" applyBorder="1" applyFont="1"/>
    <xf borderId="7" fillId="16" fontId="24" numFmtId="0" xfId="0" applyAlignment="1" applyBorder="1" applyFont="1">
      <alignment horizontal="center" shrinkToFit="0" wrapText="1"/>
    </xf>
    <xf borderId="7" fillId="16" fontId="6" numFmtId="3" xfId="0" applyAlignment="1" applyBorder="1" applyFont="1" applyNumberFormat="1">
      <alignment horizontal="center" shrinkToFit="0" wrapText="1"/>
    </xf>
    <xf borderId="7" fillId="16" fontId="2" numFmtId="3" xfId="0" applyAlignment="1" applyBorder="1" applyFont="1" applyNumberFormat="1">
      <alignment horizontal="center" shrinkToFit="0" wrapText="1"/>
    </xf>
    <xf borderId="12" fillId="16" fontId="4" numFmtId="0" xfId="0" applyAlignment="1" applyBorder="1" applyFont="1">
      <alignment vertical="bottom"/>
    </xf>
    <xf borderId="67" fillId="9" fontId="4" numFmtId="0" xfId="0" applyBorder="1" applyFont="1"/>
    <xf borderId="23" fillId="9" fontId="4" numFmtId="0" xfId="0" applyAlignment="1" applyBorder="1" applyFont="1">
      <alignment vertical="bottom"/>
    </xf>
    <xf borderId="30" fillId="5" fontId="6" numFmtId="0" xfId="0" applyAlignment="1" applyBorder="1" applyFont="1">
      <alignment horizontal="center"/>
    </xf>
    <xf borderId="30" fillId="5" fontId="2" numFmtId="0" xfId="0" applyAlignment="1" applyBorder="1" applyFont="1">
      <alignment horizontal="center"/>
    </xf>
    <xf borderId="30" fillId="5" fontId="6" numFmtId="0" xfId="0" applyAlignment="1" applyBorder="1" applyFont="1">
      <alignment horizontal="center" shrinkToFit="0" wrapText="1"/>
    </xf>
    <xf borderId="30" fillId="5" fontId="7" numFmtId="0" xfId="0" applyAlignment="1" applyBorder="1" applyFont="1">
      <alignment horizontal="center" shrinkToFit="0" wrapText="1"/>
    </xf>
    <xf borderId="30" fillId="5" fontId="4" numFmtId="0" xfId="0" applyBorder="1" applyFont="1"/>
    <xf borderId="31" fillId="5" fontId="9" numFmtId="0" xfId="0" applyAlignment="1" applyBorder="1" applyFont="1">
      <alignment horizontal="center" shrinkToFit="0" wrapText="1"/>
    </xf>
    <xf borderId="55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2" fillId="9" fontId="6" numFmtId="3" xfId="0" applyAlignment="1" applyBorder="1" applyFont="1" applyNumberFormat="1">
      <alignment horizontal="center" shrinkToFit="0" wrapText="1"/>
    </xf>
    <xf borderId="2" fillId="9" fontId="2" numFmtId="3" xfId="0" applyAlignment="1" applyBorder="1" applyFont="1" applyNumberFormat="1">
      <alignment horizontal="center" shrinkToFit="0" wrapText="1"/>
    </xf>
    <xf borderId="17" fillId="8" fontId="4" numFmtId="0" xfId="0" applyBorder="1" applyFont="1"/>
    <xf borderId="23" fillId="8" fontId="4" numFmtId="0" xfId="0" applyAlignment="1" applyBorder="1" applyFont="1">
      <alignment vertical="bottom"/>
    </xf>
    <xf borderId="18" fillId="10" fontId="6" numFmtId="0" xfId="0" applyAlignment="1" applyBorder="1" applyFont="1">
      <alignment horizontal="center" shrinkToFit="0" wrapText="1"/>
    </xf>
    <xf borderId="18" fillId="10" fontId="2" numFmtId="0" xfId="0" applyAlignment="1" applyBorder="1" applyFont="1">
      <alignment horizontal="center"/>
    </xf>
    <xf borderId="18" fillId="10" fontId="24" numFmtId="0" xfId="0" applyAlignment="1" applyBorder="1" applyFont="1">
      <alignment horizontal="center" shrinkToFit="0" wrapText="1"/>
    </xf>
    <xf borderId="17" fillId="10" fontId="4" numFmtId="0" xfId="0" applyBorder="1" applyFont="1"/>
    <xf borderId="23" fillId="10" fontId="4" numFmtId="0" xfId="0" applyAlignment="1" applyBorder="1" applyFont="1">
      <alignment vertical="bottom"/>
    </xf>
    <xf borderId="37" fillId="3" fontId="4" numFmtId="0" xfId="0" applyBorder="1" applyFont="1"/>
    <xf borderId="33" fillId="3" fontId="4" numFmtId="0" xfId="0" applyAlignment="1" applyBorder="1" applyFont="1">
      <alignment vertical="bottom"/>
    </xf>
    <xf borderId="59" fillId="3" fontId="6" numFmtId="0" xfId="0" applyAlignment="1" applyBorder="1" applyFont="1">
      <alignment horizontal="center" shrinkToFit="0" wrapText="1"/>
    </xf>
    <xf borderId="2" fillId="3" fontId="4" numFmtId="0" xfId="0" applyBorder="1" applyFont="1"/>
    <xf borderId="17" fillId="9" fontId="6" numFmtId="3" xfId="0" applyAlignment="1" applyBorder="1" applyFont="1" applyNumberFormat="1">
      <alignment horizontal="center" shrinkToFit="0" wrapText="1"/>
    </xf>
    <xf borderId="17" fillId="9" fontId="2" numFmtId="3" xfId="0" applyAlignment="1" applyBorder="1" applyFont="1" applyNumberFormat="1">
      <alignment horizontal="center" shrinkToFit="0" wrapText="1"/>
    </xf>
    <xf borderId="18" fillId="16" fontId="4" numFmtId="0" xfId="0" applyBorder="1" applyFont="1"/>
    <xf borderId="30" fillId="6" fontId="6" numFmtId="0" xfId="0" applyAlignment="1" applyBorder="1" applyFont="1">
      <alignment horizontal="center" shrinkToFit="0" wrapText="1"/>
    </xf>
    <xf borderId="30" fillId="6" fontId="2" numFmtId="0" xfId="0" applyAlignment="1" applyBorder="1" applyFont="1">
      <alignment horizontal="center"/>
    </xf>
    <xf borderId="30" fillId="6" fontId="4" numFmtId="0" xfId="0" applyBorder="1" applyFont="1"/>
    <xf borderId="30" fillId="6" fontId="24" numFmtId="0" xfId="0" applyAlignment="1" applyBorder="1" applyFont="1">
      <alignment horizontal="center" shrinkToFit="0" wrapText="1"/>
    </xf>
    <xf borderId="37" fillId="6" fontId="6" numFmtId="3" xfId="0" applyAlignment="1" applyBorder="1" applyFont="1" applyNumberFormat="1">
      <alignment horizontal="center" shrinkToFit="0" wrapText="1"/>
    </xf>
    <xf borderId="37" fillId="6" fontId="2" numFmtId="3" xfId="0" applyAlignment="1" applyBorder="1" applyFont="1" applyNumberFormat="1">
      <alignment horizontal="center" shrinkToFit="0" wrapText="1"/>
    </xf>
    <xf borderId="31" fillId="6" fontId="9" numFmtId="0" xfId="0" applyAlignment="1" applyBorder="1" applyFont="1">
      <alignment horizontal="center"/>
    </xf>
    <xf borderId="2" fillId="6" fontId="2" numFmtId="0" xfId="0" applyAlignment="1" applyBorder="1" applyFont="1">
      <alignment horizontal="center"/>
    </xf>
    <xf borderId="17" fillId="6" fontId="6" numFmtId="3" xfId="0" applyAlignment="1" applyBorder="1" applyFont="1" applyNumberFormat="1">
      <alignment horizontal="center" shrinkToFit="0" wrapText="1"/>
    </xf>
    <xf borderId="17" fillId="6" fontId="2" numFmtId="3" xfId="0" applyAlignment="1" applyBorder="1" applyFont="1" applyNumberFormat="1">
      <alignment horizontal="center" shrinkToFit="0" wrapText="1"/>
    </xf>
    <xf borderId="30" fillId="16" fontId="24" numFmtId="0" xfId="0" applyAlignment="1" applyBorder="1" applyFont="1">
      <alignment horizontal="center" shrinkToFit="0" wrapText="1"/>
    </xf>
    <xf borderId="37" fillId="16" fontId="6" numFmtId="3" xfId="0" applyAlignment="1" applyBorder="1" applyFont="1" applyNumberFormat="1">
      <alignment horizontal="center" shrinkToFit="0" wrapText="1"/>
    </xf>
    <xf borderId="37" fillId="16" fontId="2" numFmtId="3" xfId="0" applyAlignment="1" applyBorder="1" applyFont="1" applyNumberFormat="1">
      <alignment horizontal="center" shrinkToFit="0" wrapText="1"/>
    </xf>
    <xf borderId="31" fillId="16" fontId="9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0" fillId="4" fontId="2" numFmtId="0" xfId="0" applyAlignment="1" applyBorder="1" applyFont="1">
      <alignment horizontal="center"/>
    </xf>
    <xf borderId="40" fillId="4" fontId="2" numFmtId="0" xfId="0" applyAlignment="1" applyBorder="1" applyFont="1">
      <alignment horizontal="center" shrinkToFit="0" wrapText="1"/>
    </xf>
    <xf borderId="38" fillId="4" fontId="2" numFmtId="0" xfId="0" applyAlignment="1" applyBorder="1" applyFont="1">
      <alignment horizontal="center" shrinkToFit="0" wrapText="1"/>
    </xf>
    <xf borderId="2" fillId="3" fontId="6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shrinkToFit="0" wrapText="1"/>
    </xf>
    <xf borderId="18" fillId="9" fontId="6" numFmtId="0" xfId="0" applyAlignment="1" applyBorder="1" applyFont="1">
      <alignment horizontal="center" vertical="bottom"/>
    </xf>
    <xf borderId="18" fillId="9" fontId="6" numFmtId="3" xfId="0" applyAlignment="1" applyBorder="1" applyFont="1" applyNumberFormat="1">
      <alignment horizontal="right" vertical="bottom"/>
    </xf>
    <xf borderId="19" fillId="9" fontId="2" numFmtId="3" xfId="0" applyAlignment="1" applyBorder="1" applyFont="1" applyNumberFormat="1">
      <alignment horizontal="right" vertical="bottom"/>
    </xf>
    <xf borderId="18" fillId="17" fontId="6" numFmtId="0" xfId="0" applyAlignment="1" applyBorder="1" applyFill="1" applyFont="1">
      <alignment horizontal="center" shrinkToFit="0" wrapText="1"/>
    </xf>
    <xf borderId="18" fillId="17" fontId="2" numFmtId="0" xfId="0" applyAlignment="1" applyBorder="1" applyFont="1">
      <alignment horizontal="center"/>
    </xf>
    <xf borderId="18" fillId="17" fontId="4" numFmtId="0" xfId="0" applyAlignment="1" applyBorder="1" applyFont="1">
      <alignment vertical="bottom"/>
    </xf>
    <xf borderId="18" fillId="17" fontId="6" numFmtId="0" xfId="0" applyAlignment="1" applyBorder="1" applyFont="1">
      <alignment horizontal="center" vertical="bottom"/>
    </xf>
    <xf borderId="19" fillId="17" fontId="4" numFmtId="0" xfId="0" applyAlignment="1" applyBorder="1" applyFont="1">
      <alignment vertical="bottom"/>
    </xf>
    <xf borderId="18" fillId="14" fontId="6" numFmtId="0" xfId="0" applyAlignment="1" applyBorder="1" applyFont="1">
      <alignment horizontal="center" shrinkToFit="0" wrapText="1"/>
    </xf>
    <xf borderId="18" fillId="14" fontId="2" numFmtId="0" xfId="0" applyAlignment="1" applyBorder="1" applyFont="1">
      <alignment horizontal="center"/>
    </xf>
    <xf borderId="18" fillId="14" fontId="4" numFmtId="0" xfId="0" applyAlignment="1" applyBorder="1" applyFont="1">
      <alignment vertical="bottom"/>
    </xf>
    <xf borderId="18" fillId="14" fontId="6" numFmtId="0" xfId="0" applyAlignment="1" applyBorder="1" applyFont="1">
      <alignment horizontal="center" vertical="bottom"/>
    </xf>
    <xf borderId="18" fillId="14" fontId="6" numFmtId="3" xfId="0" applyAlignment="1" applyBorder="1" applyFont="1" applyNumberFormat="1">
      <alignment horizontal="right" vertical="bottom"/>
    </xf>
    <xf borderId="19" fillId="14" fontId="4" numFmtId="0" xfId="0" applyAlignment="1" applyBorder="1" applyFont="1">
      <alignment vertical="bottom"/>
    </xf>
    <xf borderId="2" fillId="0" fontId="6" numFmtId="0" xfId="0" applyAlignment="1" applyBorder="1" applyFont="1">
      <alignment horizontal="center"/>
    </xf>
    <xf borderId="7" fillId="9" fontId="6" numFmtId="0" xfId="0" applyAlignment="1" applyBorder="1" applyFont="1">
      <alignment horizontal="center" vertical="bottom"/>
    </xf>
    <xf borderId="7" fillId="9" fontId="2" numFmtId="0" xfId="0" applyAlignment="1" applyBorder="1" applyFont="1">
      <alignment horizontal="center" vertical="bottom"/>
    </xf>
    <xf borderId="7" fillId="9" fontId="4" numFmtId="0" xfId="0" applyAlignment="1" applyBorder="1" applyFont="1">
      <alignment vertical="bottom"/>
    </xf>
    <xf borderId="7" fillId="9" fontId="6" numFmtId="0" xfId="0" applyAlignment="1" applyBorder="1" applyFont="1">
      <alignment horizontal="center"/>
    </xf>
    <xf borderId="8" fillId="9" fontId="2" numFmtId="0" xfId="0" applyAlignment="1" applyBorder="1" applyFont="1">
      <alignment horizontal="right" vertical="bottom"/>
    </xf>
    <xf borderId="18" fillId="6" fontId="6" numFmtId="3" xfId="0" applyAlignment="1" applyBorder="1" applyFont="1" applyNumberFormat="1">
      <alignment horizontal="right"/>
    </xf>
    <xf borderId="19" fillId="6" fontId="2" numFmtId="3" xfId="0" applyAlignment="1" applyBorder="1" applyFont="1" applyNumberFormat="1">
      <alignment horizontal="right"/>
    </xf>
    <xf borderId="18" fillId="3" fontId="6" numFmtId="0" xfId="0" applyAlignment="1" applyBorder="1" applyFont="1">
      <alignment horizontal="center" vertical="bottom"/>
    </xf>
    <xf borderId="18" fillId="3" fontId="2" numFmtId="0" xfId="0" applyAlignment="1" applyBorder="1" applyFont="1">
      <alignment horizontal="center" vertical="bottom"/>
    </xf>
    <xf borderId="18" fillId="3" fontId="4" numFmtId="0" xfId="0" applyAlignment="1" applyBorder="1" applyFont="1">
      <alignment vertical="bottom"/>
    </xf>
    <xf borderId="18" fillId="3" fontId="6" numFmtId="3" xfId="0" applyAlignment="1" applyBorder="1" applyFont="1" applyNumberFormat="1">
      <alignment horizontal="right" vertical="bottom"/>
    </xf>
    <xf borderId="30" fillId="16" fontId="6" numFmtId="0" xfId="0" applyAlignment="1" applyBorder="1" applyFont="1">
      <alignment horizontal="center" vertical="bottom"/>
    </xf>
    <xf borderId="30" fillId="16" fontId="2" numFmtId="0" xfId="0" applyAlignment="1" applyBorder="1" applyFont="1">
      <alignment horizontal="center" vertical="bottom"/>
    </xf>
    <xf borderId="30" fillId="16" fontId="4" numFmtId="0" xfId="0" applyAlignment="1" applyBorder="1" applyFont="1">
      <alignment vertical="bottom"/>
    </xf>
    <xf borderId="31" fillId="16" fontId="2" numFmtId="3" xfId="0" applyAlignment="1" applyBorder="1" applyFont="1" applyNumberFormat="1">
      <alignment horizontal="right" vertical="bottom"/>
    </xf>
    <xf borderId="8" fillId="9" fontId="2" numFmtId="3" xfId="0" applyAlignment="1" applyBorder="1" applyFont="1" applyNumberFormat="1">
      <alignment horizontal="right"/>
    </xf>
    <xf borderId="18" fillId="7" fontId="6" numFmtId="0" xfId="0" applyAlignment="1" applyBorder="1" applyFont="1">
      <alignment horizontal="center" shrinkToFit="0" wrapText="1"/>
    </xf>
    <xf borderId="18" fillId="7" fontId="2" numFmtId="0" xfId="0" applyAlignment="1" applyBorder="1" applyFont="1">
      <alignment horizontal="center"/>
    </xf>
    <xf borderId="18" fillId="7" fontId="6" numFmtId="0" xfId="0" applyAlignment="1" applyBorder="1" applyFont="1">
      <alignment horizontal="center"/>
    </xf>
    <xf borderId="18" fillId="7" fontId="6" numFmtId="3" xfId="0" applyAlignment="1" applyBorder="1" applyFont="1" applyNumberFormat="1">
      <alignment horizontal="right"/>
    </xf>
    <xf borderId="19" fillId="7" fontId="2" numFmtId="3" xfId="0" applyAlignment="1" applyBorder="1" applyFont="1" applyNumberFormat="1">
      <alignment horizontal="right" vertical="bottom"/>
    </xf>
    <xf borderId="18" fillId="5" fontId="2" numFmtId="0" xfId="0" applyAlignment="1" applyBorder="1" applyFont="1">
      <alignment horizontal="center" vertical="bottom"/>
    </xf>
    <xf borderId="18" fillId="5" fontId="4" numFmtId="0" xfId="0" applyAlignment="1" applyBorder="1" applyFont="1">
      <alignment vertical="bottom"/>
    </xf>
    <xf borderId="19" fillId="5" fontId="4" numFmtId="0" xfId="0" applyAlignment="1" applyBorder="1" applyFont="1">
      <alignment vertical="bottom"/>
    </xf>
    <xf borderId="18" fillId="3" fontId="6" numFmtId="0" xfId="0" applyAlignment="1" applyBorder="1" applyFont="1">
      <alignment horizontal="right" vertical="bottom"/>
    </xf>
    <xf borderId="18" fillId="16" fontId="6" numFmtId="3" xfId="0" applyAlignment="1" applyBorder="1" applyFont="1" applyNumberFormat="1">
      <alignment horizontal="right"/>
    </xf>
    <xf borderId="19" fillId="16" fontId="2" numFmtId="3" xfId="0" applyAlignment="1" applyBorder="1" applyFont="1" applyNumberFormat="1">
      <alignment horizontal="right"/>
    </xf>
    <xf borderId="18" fillId="10" fontId="2" numFmtId="0" xfId="0" applyAlignment="1" applyBorder="1" applyFont="1">
      <alignment horizontal="center" vertical="bottom"/>
    </xf>
    <xf borderId="18" fillId="10" fontId="4" numFmtId="0" xfId="0" applyAlignment="1" applyBorder="1" applyFont="1">
      <alignment vertical="bottom"/>
    </xf>
    <xf borderId="18" fillId="10" fontId="6" numFmtId="3" xfId="0" applyAlignment="1" applyBorder="1" applyFont="1" applyNumberFormat="1">
      <alignment horizontal="right" vertical="bottom"/>
    </xf>
    <xf borderId="19" fillId="10" fontId="4" numFmtId="0" xfId="0" applyAlignment="1" applyBorder="1" applyFont="1">
      <alignment vertical="bottom"/>
    </xf>
    <xf borderId="7" fillId="6" fontId="6" numFmtId="0" xfId="0" applyAlignment="1" applyBorder="1" applyFont="1">
      <alignment horizontal="center" vertical="bottom"/>
    </xf>
    <xf borderId="7" fillId="6" fontId="2" numFmtId="0" xfId="0" applyAlignment="1" applyBorder="1" applyFont="1">
      <alignment horizontal="center" vertical="bottom"/>
    </xf>
    <xf borderId="7" fillId="6" fontId="4" numFmtId="0" xfId="0" applyAlignment="1" applyBorder="1" applyFont="1">
      <alignment vertical="bottom"/>
    </xf>
    <xf borderId="8" fillId="6" fontId="2" numFmtId="3" xfId="0" applyAlignment="1" applyBorder="1" applyFont="1" applyNumberFormat="1">
      <alignment horizontal="right" vertical="bottom"/>
    </xf>
    <xf borderId="18" fillId="1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/>
    </xf>
    <xf borderId="0" fillId="10" fontId="2" numFmtId="0" xfId="0" applyAlignment="1" applyFont="1">
      <alignment horizontal="center" vertical="bottom"/>
    </xf>
    <xf borderId="18" fillId="9" fontId="6" numFmtId="3" xfId="0" applyAlignment="1" applyBorder="1" applyFont="1" applyNumberFormat="1">
      <alignment horizontal="right"/>
    </xf>
    <xf borderId="19" fillId="9" fontId="2" numFmtId="3" xfId="0" applyAlignment="1" applyBorder="1" applyFont="1" applyNumberFormat="1">
      <alignment horizontal="right"/>
    </xf>
    <xf borderId="30" fillId="16" fontId="6" numFmtId="3" xfId="0" applyAlignment="1" applyBorder="1" applyFont="1" applyNumberFormat="1">
      <alignment horizontal="right" vertical="bottom"/>
    </xf>
    <xf borderId="7" fillId="17" fontId="6" numFmtId="0" xfId="0" applyAlignment="1" applyBorder="1" applyFont="1">
      <alignment horizontal="center" shrinkToFit="0" wrapText="1"/>
    </xf>
    <xf borderId="67" fillId="17" fontId="2" numFmtId="0" xfId="0" applyAlignment="1" applyBorder="1" applyFont="1">
      <alignment horizontal="center"/>
    </xf>
    <xf borderId="67" fillId="17" fontId="4" numFmtId="0" xfId="0" applyAlignment="1" applyBorder="1" applyFont="1">
      <alignment vertical="bottom"/>
    </xf>
    <xf borderId="67" fillId="17" fontId="6" numFmtId="0" xfId="0" applyAlignment="1" applyBorder="1" applyFont="1">
      <alignment horizontal="center"/>
    </xf>
    <xf borderId="67" fillId="17" fontId="6" numFmtId="0" xfId="0" applyAlignment="1" applyBorder="1" applyFont="1">
      <alignment horizontal="center" shrinkToFit="0" wrapText="1"/>
    </xf>
    <xf borderId="54" fillId="17" fontId="2" numFmtId="3" xfId="0" applyAlignment="1" applyBorder="1" applyFont="1" applyNumberFormat="1">
      <alignment horizontal="right" vertical="bottom"/>
    </xf>
    <xf borderId="19" fillId="9" fontId="2" numFmtId="0" xfId="0" applyAlignment="1" applyBorder="1" applyFont="1">
      <alignment horizontal="right"/>
    </xf>
    <xf borderId="30" fillId="6" fontId="6" numFmtId="0" xfId="0" applyAlignment="1" applyBorder="1" applyFont="1">
      <alignment horizontal="center"/>
    </xf>
    <xf borderId="30" fillId="6" fontId="6" numFmtId="3" xfId="0" applyAlignment="1" applyBorder="1" applyFont="1" applyNumberFormat="1">
      <alignment horizontal="right"/>
    </xf>
    <xf borderId="31" fillId="6" fontId="2" numFmtId="3" xfId="0" applyAlignment="1" applyBorder="1" applyFont="1" applyNumberFormat="1">
      <alignment horizontal="right"/>
    </xf>
    <xf borderId="70" fillId="4" fontId="2" numFmtId="0" xfId="0" applyAlignment="1" applyBorder="1" applyFont="1">
      <alignment horizontal="center"/>
    </xf>
    <xf borderId="70" fillId="4" fontId="2" numFmtId="0" xfId="0" applyAlignment="1" applyBorder="1" applyFont="1">
      <alignment horizontal="center" shrinkToFit="0" wrapText="1"/>
    </xf>
    <xf borderId="7" fillId="16" fontId="6" numFmtId="0" xfId="0" applyAlignment="1" applyBorder="1" applyFont="1">
      <alignment horizontal="center"/>
    </xf>
    <xf borderId="7" fillId="16" fontId="17" numFmtId="0" xfId="0" applyAlignment="1" applyBorder="1" applyFont="1">
      <alignment horizontal="center" shrinkToFit="0" wrapText="1"/>
    </xf>
    <xf borderId="7" fillId="16" fontId="6" numFmtId="3" xfId="0" applyAlignment="1" applyBorder="1" applyFont="1" applyNumberFormat="1">
      <alignment horizontal="right"/>
    </xf>
    <xf borderId="8" fillId="16" fontId="2" numFmtId="3" xfId="0" applyAlignment="1" applyBorder="1" applyFont="1" applyNumberFormat="1">
      <alignment horizontal="right"/>
    </xf>
    <xf borderId="0" fillId="6" fontId="2" numFmtId="0" xfId="0" applyAlignment="1" applyFont="1">
      <alignment horizontal="center"/>
    </xf>
    <xf borderId="18" fillId="6" fontId="17" numFmtId="0" xfId="0" applyAlignment="1" applyBorder="1" applyFont="1">
      <alignment horizontal="center" shrinkToFit="0" wrapText="1"/>
    </xf>
    <xf borderId="18" fillId="3" fontId="17" numFmtId="0" xfId="0" applyAlignment="1" applyBorder="1" applyFont="1">
      <alignment horizontal="center" shrinkToFit="0" wrapText="1"/>
    </xf>
    <xf borderId="18" fillId="9" fontId="17" numFmtId="0" xfId="0" applyAlignment="1" applyBorder="1" applyFont="1">
      <alignment horizontal="center" shrinkToFit="0" wrapText="1"/>
    </xf>
    <xf borderId="7" fillId="3" fontId="6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7" fillId="3" fontId="17" numFmtId="0" xfId="0" applyAlignment="1" applyBorder="1" applyFont="1">
      <alignment horizontal="center" shrinkToFit="0" wrapText="1"/>
    </xf>
    <xf borderId="30" fillId="16" fontId="17" numFmtId="0" xfId="0" applyAlignment="1" applyBorder="1" applyFont="1">
      <alignment horizontal="center" shrinkToFit="0" wrapText="1"/>
    </xf>
    <xf borderId="31" fillId="16" fontId="2" numFmtId="3" xfId="0" applyAlignment="1" applyBorder="1" applyFont="1" applyNumberFormat="1">
      <alignment horizontal="right"/>
    </xf>
    <xf borderId="18" fillId="16" fontId="2" numFmtId="0" xfId="0" applyAlignment="1" applyBorder="1" applyFont="1">
      <alignment horizontal="center" vertical="bottom"/>
    </xf>
    <xf borderId="18" fillId="16" fontId="17" numFmtId="0" xfId="0" applyAlignment="1" applyBorder="1" applyFont="1">
      <alignment horizontal="center" shrinkToFit="0" wrapText="1"/>
    </xf>
    <xf borderId="18" fillId="16" fontId="6" numFmtId="3" xfId="0" applyAlignment="1" applyBorder="1" applyFont="1" applyNumberFormat="1">
      <alignment horizontal="right" vertical="bottom"/>
    </xf>
    <xf borderId="19" fillId="16" fontId="2" numFmtId="3" xfId="0" applyAlignment="1" applyBorder="1" applyFont="1" applyNumberFormat="1">
      <alignment horizontal="right" vertical="bottom"/>
    </xf>
    <xf borderId="7" fillId="15" fontId="2" numFmtId="0" xfId="0" applyAlignment="1" applyBorder="1" applyFont="1">
      <alignment horizontal="center"/>
    </xf>
    <xf borderId="7" fillId="15" fontId="6" numFmtId="0" xfId="0" applyAlignment="1" applyBorder="1" applyFont="1">
      <alignment horizontal="center"/>
    </xf>
    <xf borderId="7" fillId="15" fontId="17" numFmtId="0" xfId="0" applyAlignment="1" applyBorder="1" applyFont="1">
      <alignment horizontal="center" shrinkToFit="0" wrapText="1"/>
    </xf>
    <xf borderId="8" fillId="15" fontId="2" numFmtId="3" xfId="0" applyAlignment="1" applyBorder="1" applyFont="1" applyNumberFormat="1">
      <alignment horizontal="right"/>
    </xf>
    <xf borderId="18" fillId="18" fontId="6" numFmtId="0" xfId="0" applyAlignment="1" applyBorder="1" applyFill="1" applyFont="1">
      <alignment horizontal="center" shrinkToFit="0" wrapText="1"/>
    </xf>
    <xf borderId="18" fillId="18" fontId="2" numFmtId="0" xfId="0" applyAlignment="1" applyBorder="1" applyFont="1">
      <alignment horizontal="center"/>
    </xf>
    <xf borderId="18" fillId="18" fontId="4" numFmtId="0" xfId="0" applyAlignment="1" applyBorder="1" applyFont="1">
      <alignment vertical="bottom"/>
    </xf>
    <xf borderId="18" fillId="18" fontId="6" numFmtId="0" xfId="0" applyAlignment="1" applyBorder="1" applyFont="1">
      <alignment horizontal="center"/>
    </xf>
    <xf borderId="18" fillId="18" fontId="17" numFmtId="0" xfId="0" applyAlignment="1" applyBorder="1" applyFont="1">
      <alignment horizontal="center" shrinkToFit="0" wrapText="1"/>
    </xf>
    <xf borderId="18" fillId="18" fontId="4" numFmtId="3" xfId="0" applyAlignment="1" applyBorder="1" applyFont="1" applyNumberFormat="1">
      <alignment vertical="bottom"/>
    </xf>
    <xf borderId="19" fillId="18" fontId="4" numFmtId="0" xfId="0" applyAlignment="1" applyBorder="1" applyFont="1">
      <alignment vertical="bottom"/>
    </xf>
    <xf borderId="18" fillId="5" fontId="17" numFmtId="0" xfId="0" applyAlignment="1" applyBorder="1" applyFont="1">
      <alignment horizontal="center" shrinkToFit="0" wrapText="1"/>
    </xf>
    <xf borderId="18" fillId="5" fontId="4" numFmtId="3" xfId="0" applyAlignment="1" applyBorder="1" applyFont="1" applyNumberFormat="1">
      <alignment vertical="bottom"/>
    </xf>
    <xf borderId="19" fillId="5" fontId="2" numFmtId="3" xfId="0" applyAlignment="1" applyBorder="1" applyFont="1" applyNumberFormat="1">
      <alignment horizontal="right" vertical="bottom"/>
    </xf>
    <xf borderId="7" fillId="9" fontId="17" numFmtId="0" xfId="0" applyAlignment="1" applyBorder="1" applyFont="1">
      <alignment horizontal="center" shrinkToFit="0" wrapText="1"/>
    </xf>
    <xf borderId="8" fillId="9" fontId="2" numFmtId="3" xfId="0" applyAlignment="1" applyBorder="1" applyFont="1" applyNumberFormat="1">
      <alignment horizontal="right" vertical="bottom"/>
    </xf>
    <xf borderId="18" fillId="6" fontId="6" numFmtId="3" xfId="0" applyAlignment="1" applyBorder="1" applyFont="1" applyNumberFormat="1">
      <alignment horizontal="right" vertical="bottom"/>
    </xf>
    <xf borderId="19" fillId="6" fontId="2" numFmtId="3" xfId="0" applyAlignment="1" applyBorder="1" applyFont="1" applyNumberFormat="1">
      <alignment horizontal="right" vertical="bottom"/>
    </xf>
    <xf borderId="18" fillId="10" fontId="17" numFmtId="0" xfId="0" applyAlignment="1" applyBorder="1" applyFont="1">
      <alignment horizontal="center" shrinkToFit="0" wrapText="1"/>
    </xf>
    <xf borderId="18" fillId="19" fontId="6" numFmtId="0" xfId="0" applyAlignment="1" applyBorder="1" applyFill="1" applyFont="1">
      <alignment horizontal="center" shrinkToFit="0" wrapText="1"/>
    </xf>
    <xf borderId="53" fillId="19" fontId="2" numFmtId="0" xfId="0" applyAlignment="1" applyBorder="1" applyFont="1">
      <alignment horizontal="center"/>
    </xf>
    <xf borderId="53" fillId="19" fontId="4" numFmtId="0" xfId="0" applyAlignment="1" applyBorder="1" applyFont="1">
      <alignment vertical="bottom"/>
    </xf>
    <xf borderId="18" fillId="19" fontId="6" numFmtId="0" xfId="0" applyAlignment="1" applyBorder="1" applyFont="1">
      <alignment horizontal="center"/>
    </xf>
    <xf borderId="53" fillId="19" fontId="17" numFmtId="0" xfId="0" applyAlignment="1" applyBorder="1" applyFont="1">
      <alignment horizontal="center" shrinkToFit="0" wrapText="1"/>
    </xf>
    <xf borderId="68" fillId="19" fontId="4" numFmtId="0" xfId="0" applyAlignment="1" applyBorder="1" applyFont="1">
      <alignment vertical="bottom"/>
    </xf>
    <xf borderId="30" fillId="5" fontId="4" numFmtId="0" xfId="0" applyAlignment="1" applyBorder="1" applyFont="1">
      <alignment vertical="bottom"/>
    </xf>
    <xf borderId="31" fillId="5" fontId="4" numFmtId="0" xfId="0" applyAlignment="1" applyBorder="1" applyFont="1">
      <alignment vertical="bottom"/>
    </xf>
    <xf borderId="7" fillId="6" fontId="17" numFmtId="0" xfId="0" applyAlignment="1" applyBorder="1" applyFont="1">
      <alignment horizontal="center" shrinkToFit="0" wrapText="1"/>
    </xf>
    <xf borderId="8" fillId="6" fontId="4" numFmtId="0" xfId="0" applyAlignment="1" applyBorder="1" applyFont="1">
      <alignment vertical="bottom"/>
    </xf>
    <xf borderId="0" fillId="19" fontId="2" numFmtId="0" xfId="0" applyAlignment="1" applyFont="1">
      <alignment horizontal="center" vertical="bottom"/>
    </xf>
    <xf borderId="18" fillId="19" fontId="4" numFmtId="0" xfId="0" applyAlignment="1" applyBorder="1" applyFont="1">
      <alignment vertical="bottom"/>
    </xf>
    <xf borderId="18" fillId="19" fontId="17" numFmtId="0" xfId="0" applyAlignment="1" applyBorder="1" applyFont="1">
      <alignment horizontal="center" shrinkToFit="0" wrapText="1"/>
    </xf>
    <xf borderId="19" fillId="19" fontId="4" numFmtId="0" xfId="0" applyAlignment="1" applyBorder="1" applyFont="1">
      <alignment vertical="bottom"/>
    </xf>
    <xf borderId="67" fillId="6" fontId="2" numFmtId="0" xfId="0" applyAlignment="1" applyBorder="1" applyFont="1">
      <alignment horizontal="center"/>
    </xf>
    <xf borderId="67" fillId="6" fontId="4" numFmtId="0" xfId="0" applyAlignment="1" applyBorder="1" applyFont="1">
      <alignment vertical="bottom"/>
    </xf>
    <xf borderId="67" fillId="6" fontId="6" numFmtId="0" xfId="0" applyAlignment="1" applyBorder="1" applyFont="1">
      <alignment horizontal="center"/>
    </xf>
    <xf borderId="67" fillId="6" fontId="17" numFmtId="0" xfId="0" applyAlignment="1" applyBorder="1" applyFont="1">
      <alignment horizontal="center" shrinkToFit="0" wrapText="1"/>
    </xf>
    <xf borderId="54" fillId="6" fontId="4" numFmtId="0" xfId="0" applyAlignment="1" applyBorder="1" applyFont="1">
      <alignment vertical="bottom"/>
    </xf>
    <xf borderId="18" fillId="15" fontId="2" numFmtId="0" xfId="0" applyAlignment="1" applyBorder="1" applyFont="1">
      <alignment horizontal="center"/>
    </xf>
    <xf borderId="18" fillId="15" fontId="4" numFmtId="0" xfId="0" applyAlignment="1" applyBorder="1" applyFont="1">
      <alignment vertical="bottom"/>
    </xf>
    <xf borderId="18" fillId="15" fontId="6" numFmtId="0" xfId="0" applyAlignment="1" applyBorder="1" applyFont="1">
      <alignment horizontal="center"/>
    </xf>
    <xf borderId="18" fillId="15" fontId="17" numFmtId="0" xfId="0" applyAlignment="1" applyBorder="1" applyFont="1">
      <alignment horizontal="center" shrinkToFit="0" wrapText="1"/>
    </xf>
    <xf borderId="18" fillId="15" fontId="6" numFmtId="3" xfId="0" applyAlignment="1" applyBorder="1" applyFont="1" applyNumberFormat="1">
      <alignment horizontal="right" vertical="bottom"/>
    </xf>
    <xf borderId="19" fillId="15" fontId="9" numFmtId="3" xfId="0" applyAlignment="1" applyBorder="1" applyFont="1" applyNumberFormat="1">
      <alignment horizontal="right" vertical="bottom"/>
    </xf>
    <xf borderId="18" fillId="19" fontId="2" numFmtId="0" xfId="0" applyAlignment="1" applyBorder="1" applyFont="1">
      <alignment horizontal="center"/>
    </xf>
    <xf borderId="18" fillId="19" fontId="6" numFmtId="0" xfId="0" applyAlignment="1" applyBorder="1" applyFont="1">
      <alignment horizontal="center" vertical="bottom"/>
    </xf>
    <xf borderId="18" fillId="19" fontId="7" numFmtId="0" xfId="0" applyAlignment="1" applyBorder="1" applyFont="1">
      <alignment horizontal="center"/>
    </xf>
    <xf borderId="18" fillId="10" fontId="7" numFmtId="0" xfId="0" applyAlignment="1" applyBorder="1" applyFont="1">
      <alignment horizontal="center"/>
    </xf>
    <xf borderId="30" fillId="18" fontId="6" numFmtId="0" xfId="0" applyAlignment="1" applyBorder="1" applyFont="1">
      <alignment horizontal="center" shrinkToFit="0" wrapText="1"/>
    </xf>
    <xf borderId="30" fillId="18" fontId="2" numFmtId="0" xfId="0" applyAlignment="1" applyBorder="1" applyFont="1">
      <alignment horizontal="center"/>
    </xf>
    <xf borderId="30" fillId="18" fontId="4" numFmtId="0" xfId="0" applyAlignment="1" applyBorder="1" applyFont="1">
      <alignment vertical="bottom"/>
    </xf>
    <xf borderId="30" fillId="18" fontId="6" numFmtId="0" xfId="0" applyAlignment="1" applyBorder="1" applyFont="1">
      <alignment horizontal="center" vertical="bottom"/>
    </xf>
    <xf borderId="30" fillId="18" fontId="7" numFmtId="0" xfId="0" applyAlignment="1" applyBorder="1" applyFont="1">
      <alignment horizontal="center"/>
    </xf>
    <xf borderId="31" fillId="18" fontId="4" numFmtId="0" xfId="0" applyAlignment="1" applyBorder="1" applyFont="1">
      <alignment vertical="bottom"/>
    </xf>
    <xf borderId="7" fillId="15" fontId="4" numFmtId="0" xfId="0" applyAlignment="1" applyBorder="1" applyFont="1">
      <alignment vertical="bottom"/>
    </xf>
    <xf borderId="7" fillId="15" fontId="6" numFmtId="0" xfId="0" applyAlignment="1" applyBorder="1" applyFont="1">
      <alignment horizontal="center" vertical="bottom"/>
    </xf>
    <xf borderId="7" fillId="15" fontId="17" numFmtId="0" xfId="0" applyAlignment="1" applyBorder="1" applyFont="1">
      <alignment horizontal="center" vertical="bottom"/>
    </xf>
    <xf borderId="8" fillId="15" fontId="9" numFmtId="3" xfId="0" applyAlignment="1" applyBorder="1" applyFont="1" applyNumberFormat="1">
      <alignment horizontal="right" vertical="bottom"/>
    </xf>
    <xf borderId="18" fillId="10" fontId="17" numFmtId="0" xfId="0" applyAlignment="1" applyBorder="1" applyFont="1">
      <alignment horizontal="center" vertical="bottom"/>
    </xf>
    <xf borderId="18" fillId="5" fontId="6" numFmtId="0" xfId="0" applyAlignment="1" applyBorder="1" applyFont="1">
      <alignment horizontal="center" vertical="bottom"/>
    </xf>
    <xf borderId="18" fillId="5" fontId="17" numFmtId="0" xfId="0" applyAlignment="1" applyBorder="1" applyFont="1">
      <alignment horizontal="center" vertical="bottom"/>
    </xf>
    <xf borderId="0" fillId="20" fontId="1" numFmtId="0" xfId="0" applyAlignment="1" applyFill="1" applyFont="1">
      <alignment horizontal="center" vertical="center"/>
    </xf>
    <xf borderId="0" fillId="0" fontId="3" numFmtId="0" xfId="0" applyAlignment="1" applyFont="1">
      <alignment horizontal="center"/>
    </xf>
    <xf borderId="44" fillId="4" fontId="2" numFmtId="0" xfId="0" applyAlignment="1" applyBorder="1" applyFont="1">
      <alignment horizontal="center" vertical="center"/>
    </xf>
    <xf borderId="40" fillId="4" fontId="2" numFmtId="0" xfId="0" applyAlignment="1" applyBorder="1" applyFont="1">
      <alignment horizontal="center" vertical="center"/>
    </xf>
    <xf borderId="40" fillId="4" fontId="2" numFmtId="0" xfId="0" applyAlignment="1" applyBorder="1" applyFont="1">
      <alignment horizontal="center" shrinkToFit="0" vertical="center" wrapText="1"/>
    </xf>
    <xf borderId="40" fillId="4" fontId="11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shrinkToFit="0" vertical="center" wrapText="1"/>
    </xf>
    <xf borderId="7" fillId="0" fontId="5" numFmtId="169" xfId="0" applyAlignment="1" applyBorder="1" applyFont="1" applyNumberFormat="1">
      <alignment readingOrder="0" vertical="center"/>
    </xf>
    <xf borderId="7" fillId="0" fontId="5" numFmtId="0" xfId="0" applyAlignment="1" applyBorder="1" applyFont="1">
      <alignment readingOrder="0" vertical="center"/>
    </xf>
    <xf borderId="7" fillId="0" fontId="4" numFmtId="167" xfId="0" applyAlignment="1" applyBorder="1" applyFont="1" applyNumberFormat="1">
      <alignment horizontal="right" readingOrder="0" vertical="center"/>
    </xf>
    <xf borderId="3" fillId="0" fontId="2" numFmtId="167" xfId="0" applyAlignment="1" applyBorder="1" applyFont="1" applyNumberFormat="1">
      <alignment horizontal="right" readingOrder="0" vertical="center"/>
    </xf>
    <xf borderId="9" fillId="3" fontId="6" numFmtId="0" xfId="0" applyAlignment="1" applyBorder="1" applyFont="1">
      <alignment horizontal="center" shrinkToFit="0" wrapText="1"/>
    </xf>
    <xf borderId="10" fillId="3" fontId="6" numFmtId="0" xfId="0" applyAlignment="1" applyBorder="1" applyFont="1">
      <alignment horizontal="center" shrinkToFit="0" wrapText="1"/>
    </xf>
    <xf borderId="7" fillId="9" fontId="17" numFmtId="0" xfId="0" applyAlignment="1" applyBorder="1" applyFont="1">
      <alignment horizontal="center" vertical="bottom"/>
    </xf>
    <xf borderId="53" fillId="0" fontId="5" numFmtId="16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readingOrder="0" vertical="center"/>
    </xf>
    <xf borderId="18" fillId="0" fontId="4" numFmtId="167" xfId="0" applyAlignment="1" applyBorder="1" applyFont="1" applyNumberFormat="1">
      <alignment horizontal="right" readingOrder="0" vertical="center"/>
    </xf>
    <xf borderId="52" fillId="3" fontId="6" numFmtId="0" xfId="0" applyAlignment="1" applyBorder="1" applyFont="1">
      <alignment horizontal="center" shrinkToFit="0" vertical="center" wrapText="1"/>
    </xf>
    <xf borderId="53" fillId="10" fontId="2" numFmtId="0" xfId="0" applyAlignment="1" applyBorder="1" applyFont="1">
      <alignment horizontal="center" vertical="center"/>
    </xf>
    <xf borderId="17" fillId="10" fontId="4" numFmtId="0" xfId="0" applyAlignment="1" applyBorder="1" applyFont="1">
      <alignment vertical="bottom"/>
    </xf>
    <xf borderId="53" fillId="10" fontId="6" numFmtId="0" xfId="0" applyAlignment="1" applyBorder="1" applyFont="1">
      <alignment horizontal="center" vertical="center"/>
    </xf>
    <xf borderId="53" fillId="10" fontId="17" numFmtId="0" xfId="0" applyAlignment="1" applyBorder="1" applyFont="1">
      <alignment horizontal="center" vertical="center"/>
    </xf>
    <xf borderId="17" fillId="10" fontId="4" numFmtId="0" xfId="0" applyAlignment="1" applyBorder="1" applyFont="1">
      <alignment vertical="center"/>
    </xf>
    <xf borderId="17" fillId="0" fontId="4" numFmtId="3" xfId="0" applyAlignment="1" applyBorder="1" applyFont="1" applyNumberFormat="1">
      <alignment vertical="bottom"/>
    </xf>
    <xf borderId="49" fillId="0" fontId="4" numFmtId="3" xfId="0" applyAlignment="1" applyBorder="1" applyFont="1" applyNumberFormat="1">
      <alignment vertical="bottom"/>
    </xf>
    <xf borderId="69" fillId="0" fontId="8" numFmtId="0" xfId="0" applyBorder="1" applyFont="1"/>
    <xf borderId="18" fillId="0" fontId="5" numFmtId="169" xfId="0" applyAlignment="1" applyBorder="1" applyFont="1" applyNumberFormat="1">
      <alignment readingOrder="0" vertical="center"/>
    </xf>
    <xf borderId="21" fillId="3" fontId="6" numFmtId="0" xfId="0" applyAlignment="1" applyBorder="1" applyFont="1">
      <alignment horizontal="center" shrinkToFit="0" wrapText="1"/>
    </xf>
    <xf borderId="18" fillId="0" fontId="4" numFmtId="0" xfId="0" applyAlignment="1" applyBorder="1" applyFont="1">
      <alignment vertical="bottom"/>
    </xf>
    <xf borderId="18" fillId="0" fontId="4" numFmtId="3" xfId="0" applyAlignment="1" applyBorder="1" applyFont="1" applyNumberFormat="1">
      <alignment vertical="bottom"/>
    </xf>
    <xf borderId="19" fillId="0" fontId="4" numFmtId="3" xfId="0" applyAlignment="1" applyBorder="1" applyFont="1" applyNumberFormat="1">
      <alignment vertical="bottom"/>
    </xf>
    <xf borderId="29" fillId="3" fontId="6" numFmtId="0" xfId="0" applyAlignment="1" applyBorder="1" applyFont="1">
      <alignment horizontal="center" shrinkToFit="0" wrapText="1"/>
    </xf>
    <xf borderId="30" fillId="16" fontId="17" numFmtId="0" xfId="0" applyAlignment="1" applyBorder="1" applyFont="1">
      <alignment horizontal="center" vertical="bottom"/>
    </xf>
    <xf borderId="30" fillId="0" fontId="4" numFmtId="0" xfId="0" applyAlignment="1" applyBorder="1" applyFont="1">
      <alignment vertical="bottom"/>
    </xf>
    <xf borderId="30" fillId="0" fontId="4" numFmtId="3" xfId="0" applyAlignment="1" applyBorder="1" applyFont="1" applyNumberFormat="1">
      <alignment vertical="bottom"/>
    </xf>
    <xf borderId="31" fillId="0" fontId="4" numFmtId="3" xfId="0" applyAlignment="1" applyBorder="1" applyFont="1" applyNumberFormat="1">
      <alignment vertical="bottom"/>
    </xf>
    <xf borderId="4" fillId="3" fontId="6" numFmtId="0" xfId="0" applyAlignment="1" applyBorder="1" applyFont="1">
      <alignment horizontal="center" shrinkToFit="0" wrapText="1"/>
    </xf>
    <xf borderId="5" fillId="18" fontId="2" numFmtId="0" xfId="0" applyAlignment="1" applyBorder="1" applyFont="1">
      <alignment horizontal="center" vertical="bottom"/>
    </xf>
    <xf borderId="5" fillId="18" fontId="4" numFmtId="0" xfId="0" applyAlignment="1" applyBorder="1" applyFont="1">
      <alignment vertical="bottom"/>
    </xf>
    <xf borderId="5" fillId="18" fontId="6" numFmtId="0" xfId="0" applyAlignment="1" applyBorder="1" applyFont="1">
      <alignment horizontal="center" vertical="bottom"/>
    </xf>
    <xf borderId="5" fillId="18" fontId="7" numFmtId="0" xfId="0" applyAlignment="1" applyBorder="1" applyFont="1">
      <alignment horizontal="center" vertical="bottom"/>
    </xf>
    <xf borderId="5" fillId="18" fontId="2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vertical="bottom"/>
    </xf>
    <xf borderId="5" fillId="0" fontId="4" numFmtId="3" xfId="0" applyAlignment="1" applyBorder="1" applyFont="1" applyNumberFormat="1">
      <alignment vertical="bottom"/>
    </xf>
    <xf borderId="6" fillId="0" fontId="4" numFmtId="3" xfId="0" applyAlignment="1" applyBorder="1" applyFont="1" applyNumberFormat="1">
      <alignment vertical="bottom"/>
    </xf>
    <xf borderId="3" fillId="0" fontId="6" numFmtId="165" xfId="0" applyAlignment="1" applyBorder="1" applyFont="1" applyNumberFormat="1">
      <alignment horizontal="center"/>
    </xf>
    <xf borderId="7" fillId="5" fontId="12" numFmtId="0" xfId="0" applyAlignment="1" applyBorder="1" applyFont="1">
      <alignment horizontal="center"/>
    </xf>
    <xf borderId="7" fillId="5" fontId="27" numFmtId="0" xfId="0" applyAlignment="1" applyBorder="1" applyFont="1">
      <alignment horizontal="center"/>
    </xf>
    <xf borderId="7" fillId="5" fontId="4" numFmtId="0" xfId="0" applyAlignment="1" applyBorder="1" applyFont="1">
      <alignment vertical="bottom"/>
    </xf>
    <xf borderId="7" fillId="0" fontId="4" numFmtId="3" xfId="0" applyAlignment="1" applyBorder="1" applyFont="1" applyNumberFormat="1">
      <alignment vertical="bottom"/>
    </xf>
    <xf borderId="3" fillId="0" fontId="2" numFmtId="3" xfId="0" applyAlignment="1" applyBorder="1" applyFont="1" applyNumberFormat="1">
      <alignment horizontal="right" vertical="center"/>
    </xf>
    <xf borderId="30" fillId="0" fontId="5" numFmtId="169" xfId="0" applyAlignment="1" applyBorder="1" applyFont="1" applyNumberFormat="1">
      <alignment readingOrder="0" vertical="center"/>
    </xf>
    <xf borderId="30" fillId="0" fontId="5" numFmtId="0" xfId="0" applyAlignment="1" applyBorder="1" applyFont="1">
      <alignment readingOrder="0" vertical="center"/>
    </xf>
    <xf borderId="30" fillId="0" fontId="4" numFmtId="167" xfId="0" applyAlignment="1" applyBorder="1" applyFont="1" applyNumberFormat="1">
      <alignment horizontal="right" readingOrder="0" vertical="center"/>
    </xf>
    <xf borderId="21" fillId="3" fontId="6" numFmtId="0" xfId="0" applyAlignment="1" applyBorder="1" applyFont="1">
      <alignment horizontal="center" readingOrder="0" shrinkToFit="0" wrapText="1"/>
    </xf>
    <xf borderId="18" fillId="9" fontId="2" numFmtId="0" xfId="0" applyAlignment="1" applyBorder="1" applyFont="1">
      <alignment horizontal="center" vertical="bottom"/>
    </xf>
    <xf borderId="18" fillId="9" fontId="12" numFmtId="0" xfId="0" applyAlignment="1" applyBorder="1" applyFont="1">
      <alignment horizontal="center" readingOrder="0"/>
    </xf>
    <xf borderId="18" fillId="9" fontId="27" numFmtId="0" xfId="0" applyAlignment="1" applyBorder="1" applyFont="1">
      <alignment horizontal="center"/>
    </xf>
    <xf borderId="16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67" fillId="0" fontId="5" numFmtId="169" xfId="0" applyAlignment="1" applyBorder="1" applyFont="1" applyNumberFormat="1">
      <alignment readingOrder="0"/>
    </xf>
    <xf borderId="67" fillId="0" fontId="5" numFmtId="0" xfId="0" applyAlignment="1" applyBorder="1" applyFont="1">
      <alignment readingOrder="0"/>
    </xf>
    <xf borderId="67" fillId="0" fontId="5" numFmtId="0" xfId="0" applyAlignment="1" applyBorder="1" applyFont="1">
      <alignment horizontal="center" readingOrder="0" vertical="center"/>
    </xf>
    <xf borderId="67" fillId="0" fontId="4" numFmtId="167" xfId="0" applyAlignment="1" applyBorder="1" applyFont="1" applyNumberFormat="1">
      <alignment horizontal="right" readingOrder="0" vertical="bottom"/>
    </xf>
    <xf borderId="49" fillId="0" fontId="2" numFmtId="167" xfId="0" applyAlignment="1" applyBorder="1" applyFont="1" applyNumberFormat="1">
      <alignment horizontal="right" readingOrder="0" shrinkToFit="0" vertical="center" wrapText="1"/>
    </xf>
    <xf borderId="18" fillId="3" fontId="12" numFmtId="0" xfId="0" applyAlignment="1" applyBorder="1" applyFont="1">
      <alignment horizontal="center" readingOrder="0"/>
    </xf>
    <xf borderId="18" fillId="3" fontId="27" numFmtId="0" xfId="0" applyAlignment="1" applyBorder="1" applyFont="1">
      <alignment horizontal="center"/>
    </xf>
    <xf borderId="18" fillId="0" fontId="4" numFmtId="3" xfId="0" applyAlignment="1" applyBorder="1" applyFont="1" applyNumberFormat="1">
      <alignment horizontal="right" vertical="bottom"/>
    </xf>
    <xf borderId="18" fillId="0" fontId="5" numFmtId="169" xfId="0" applyAlignment="1" applyBorder="1" applyFont="1" applyNumberFormat="1">
      <alignment readingOrder="0"/>
    </xf>
    <xf borderId="18" fillId="0" fontId="5" numFmtId="0" xfId="0" applyAlignment="1" applyBorder="1" applyFont="1">
      <alignment readingOrder="0"/>
    </xf>
    <xf borderId="18" fillId="0" fontId="4" numFmtId="167" xfId="0" applyAlignment="1" applyBorder="1" applyFont="1" applyNumberFormat="1">
      <alignment horizontal="right" readingOrder="0" vertical="bottom"/>
    </xf>
    <xf borderId="30" fillId="6" fontId="12" numFmtId="0" xfId="0" applyAlignment="1" applyBorder="1" applyFont="1">
      <alignment horizontal="center"/>
    </xf>
    <xf borderId="30" fillId="6" fontId="27" numFmtId="0" xfId="0" applyAlignment="1" applyBorder="1" applyFont="1">
      <alignment horizontal="center"/>
    </xf>
    <xf borderId="30" fillId="6" fontId="4" numFmtId="0" xfId="0" applyAlignment="1" applyBorder="1" applyFont="1">
      <alignment vertical="bottom"/>
    </xf>
    <xf borderId="68" fillId="0" fontId="2" numFmtId="3" xfId="0" applyAlignment="1" applyBorder="1" applyFont="1" applyNumberFormat="1">
      <alignment horizontal="right" vertical="center"/>
    </xf>
    <xf borderId="21" fillId="21" fontId="6" numFmtId="0" xfId="0" applyAlignment="1" applyBorder="1" applyFill="1" applyFont="1">
      <alignment horizontal="center" shrinkToFit="0" wrapText="1"/>
    </xf>
    <xf borderId="18" fillId="21" fontId="2" numFmtId="0" xfId="0" applyAlignment="1" applyBorder="1" applyFont="1">
      <alignment horizontal="center"/>
    </xf>
    <xf borderId="18" fillId="21" fontId="4" numFmtId="0" xfId="0" applyAlignment="1" applyBorder="1" applyFont="1">
      <alignment vertical="bottom"/>
    </xf>
    <xf borderId="18" fillId="21" fontId="12" numFmtId="0" xfId="0" applyAlignment="1" applyBorder="1" applyFont="1">
      <alignment horizontal="center"/>
    </xf>
    <xf borderId="18" fillId="21" fontId="27" numFmtId="0" xfId="0" applyAlignment="1" applyBorder="1" applyFont="1">
      <alignment horizontal="center"/>
    </xf>
    <xf borderId="18" fillId="21" fontId="4" numFmtId="3" xfId="0" applyAlignment="1" applyBorder="1" applyFont="1" applyNumberFormat="1">
      <alignment horizontal="right" vertical="bottom"/>
    </xf>
    <xf borderId="18" fillId="21" fontId="4" numFmtId="3" xfId="0" applyAlignment="1" applyBorder="1" applyFont="1" applyNumberFormat="1">
      <alignment vertical="bottom"/>
    </xf>
    <xf borderId="18" fillId="3" fontId="12" numFmtId="0" xfId="0" applyAlignment="1" applyBorder="1" applyFont="1">
      <alignment horizontal="center"/>
    </xf>
    <xf borderId="18" fillId="0" fontId="27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63" fillId="0" fontId="8" numFmtId="0" xfId="0" applyBorder="1" applyFont="1"/>
    <xf borderId="24" fillId="0" fontId="8" numFmtId="0" xfId="0" applyBorder="1" applyFont="1"/>
    <xf borderId="29" fillId="22" fontId="6" numFmtId="0" xfId="0" applyAlignment="1" applyBorder="1" applyFill="1" applyFont="1">
      <alignment horizontal="center" shrinkToFit="0" wrapText="1"/>
    </xf>
    <xf borderId="30" fillId="22" fontId="2" numFmtId="0" xfId="0" applyAlignment="1" applyBorder="1" applyFont="1">
      <alignment horizontal="center"/>
    </xf>
    <xf borderId="30" fillId="22" fontId="4" numFmtId="0" xfId="0" applyAlignment="1" applyBorder="1" applyFont="1">
      <alignment vertical="bottom"/>
    </xf>
    <xf borderId="30" fillId="22" fontId="12" numFmtId="0" xfId="0" applyAlignment="1" applyBorder="1" applyFont="1">
      <alignment horizontal="center"/>
    </xf>
    <xf borderId="30" fillId="22" fontId="27" numFmtId="0" xfId="0" applyAlignment="1" applyBorder="1" applyFont="1">
      <alignment horizontal="center"/>
    </xf>
    <xf borderId="30" fillId="22" fontId="4" numFmtId="3" xfId="0" applyAlignment="1" applyBorder="1" applyFont="1" applyNumberFormat="1">
      <alignment horizontal="right" vertical="bottom"/>
    </xf>
    <xf borderId="30" fillId="22" fontId="4" numFmtId="3" xfId="0" applyAlignment="1" applyBorder="1" applyFont="1" applyNumberFormat="1">
      <alignment vertical="bottom"/>
    </xf>
    <xf borderId="30" fillId="0" fontId="5" numFmtId="169" xfId="0" applyAlignment="1" applyBorder="1" applyFont="1" applyNumberFormat="1">
      <alignment readingOrder="0"/>
    </xf>
    <xf borderId="30" fillId="0" fontId="5" numFmtId="0" xfId="0" applyAlignment="1" applyBorder="1" applyFont="1">
      <alignment readingOrder="0"/>
    </xf>
    <xf borderId="30" fillId="0" fontId="4" numFmtId="167" xfId="0" applyAlignment="1" applyBorder="1" applyFont="1" applyNumberFormat="1">
      <alignment horizontal="right" readingOrder="0" vertical="bottom"/>
    </xf>
    <xf borderId="7" fillId="5" fontId="4" numFmtId="0" xfId="0" applyBorder="1" applyFont="1"/>
    <xf borderId="7" fillId="0" fontId="5" numFmtId="169" xfId="0" applyAlignment="1" applyBorder="1" applyFont="1" applyNumberFormat="1">
      <alignment readingOrder="0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center" readingOrder="0"/>
    </xf>
    <xf borderId="7" fillId="0" fontId="4" numFmtId="167" xfId="0" applyAlignment="1" applyBorder="1" applyFont="1" applyNumberFormat="1">
      <alignment horizontal="right" readingOrder="0" vertical="bottom"/>
    </xf>
    <xf borderId="18" fillId="9" fontId="12" numFmtId="0" xfId="0" applyAlignment="1" applyBorder="1" applyFont="1">
      <alignment horizontal="center"/>
    </xf>
    <xf borderId="18" fillId="0" fontId="5" numFmtId="0" xfId="0" applyAlignment="1" applyBorder="1" applyFont="1">
      <alignment horizontal="center" readingOrder="0"/>
    </xf>
    <xf borderId="18" fillId="6" fontId="12" numFmtId="0" xfId="0" applyAlignment="1" applyBorder="1" applyFont="1">
      <alignment horizontal="center"/>
    </xf>
    <xf borderId="18" fillId="6" fontId="27" numFmtId="0" xfId="0" applyAlignment="1" applyBorder="1" applyFont="1">
      <alignment horizontal="center"/>
    </xf>
    <xf borderId="18" fillId="6" fontId="4" numFmtId="0" xfId="0" applyAlignment="1" applyBorder="1" applyFont="1">
      <alignment vertical="bottom"/>
    </xf>
    <xf borderId="53" fillId="10" fontId="4" numFmtId="0" xfId="0" applyAlignment="1" applyBorder="1" applyFont="1">
      <alignment vertical="center"/>
    </xf>
    <xf borderId="53" fillId="10" fontId="12" numFmtId="0" xfId="0" applyAlignment="1" applyBorder="1" applyFont="1">
      <alignment horizontal="center" vertical="center"/>
    </xf>
    <xf borderId="53" fillId="10" fontId="27" numFmtId="0" xfId="0" applyAlignment="1" applyBorder="1" applyFont="1">
      <alignment horizontal="center" vertical="center"/>
    </xf>
    <xf borderId="53" fillId="0" fontId="4" numFmtId="3" xfId="0" applyAlignment="1" applyBorder="1" applyFont="1" applyNumberFormat="1">
      <alignment horizontal="right" vertical="bottom"/>
    </xf>
    <xf borderId="53" fillId="0" fontId="4" numFmtId="3" xfId="0" applyAlignment="1" applyBorder="1" applyFont="1" applyNumberFormat="1">
      <alignment vertical="bottom"/>
    </xf>
    <xf borderId="53" fillId="0" fontId="4" numFmtId="4" xfId="0" applyAlignment="1" applyBorder="1" applyFont="1" applyNumberFormat="1">
      <alignment horizontal="right" vertical="bottom"/>
    </xf>
    <xf borderId="7" fillId="6" fontId="12" numFmtId="0" xfId="0" applyAlignment="1" applyBorder="1" applyFont="1">
      <alignment horizontal="center"/>
    </xf>
    <xf borderId="7" fillId="6" fontId="27" numFmtId="0" xfId="0" applyAlignment="1" applyBorder="1" applyFont="1">
      <alignment horizontal="center"/>
    </xf>
    <xf borderId="7" fillId="0" fontId="4" numFmtId="3" xfId="0" applyAlignment="1" applyBorder="1" applyFont="1" applyNumberFormat="1">
      <alignment horizontal="right" vertical="bottom"/>
    </xf>
    <xf borderId="18" fillId="23" fontId="2" numFmtId="0" xfId="0" applyAlignment="1" applyBorder="1" applyFill="1" applyFont="1">
      <alignment horizontal="center"/>
    </xf>
    <xf borderId="18" fillId="23" fontId="2" numFmtId="0" xfId="0" applyAlignment="1" applyBorder="1" applyFont="1">
      <alignment horizontal="center" vertical="bottom"/>
    </xf>
    <xf borderId="18" fillId="23" fontId="12" numFmtId="0" xfId="0" applyAlignment="1" applyBorder="1" applyFont="1">
      <alignment horizontal="center"/>
    </xf>
    <xf borderId="18" fillId="23" fontId="27" numFmtId="0" xfId="0" applyAlignment="1" applyBorder="1" applyFont="1">
      <alignment horizontal="center"/>
    </xf>
    <xf borderId="18" fillId="23" fontId="4" numFmtId="0" xfId="0" applyAlignment="1" applyBorder="1" applyFont="1">
      <alignment vertical="bottom"/>
    </xf>
    <xf borderId="18" fillId="15" fontId="12" numFmtId="0" xfId="0" applyAlignment="1" applyBorder="1" applyFont="1">
      <alignment horizontal="center"/>
    </xf>
    <xf borderId="18" fillId="15" fontId="27" numFmtId="0" xfId="0" applyAlignment="1" applyBorder="1" applyFont="1">
      <alignment horizontal="center"/>
    </xf>
    <xf borderId="30" fillId="18" fontId="12" numFmtId="0" xfId="0" applyAlignment="1" applyBorder="1" applyFont="1">
      <alignment horizontal="center"/>
    </xf>
    <xf borderId="30" fillId="18" fontId="27" numFmtId="0" xfId="0" applyAlignment="1" applyBorder="1" applyFont="1">
      <alignment horizontal="center"/>
    </xf>
    <xf borderId="30" fillId="0" fontId="4" numFmtId="3" xfId="0" applyAlignment="1" applyBorder="1" applyFont="1" applyNumberFormat="1">
      <alignment horizontal="right" vertical="bottom"/>
    </xf>
    <xf borderId="10" fillId="22" fontId="6" numFmtId="0" xfId="0" applyAlignment="1" applyBorder="1" applyFont="1">
      <alignment horizontal="center" shrinkToFit="0" wrapText="1"/>
    </xf>
    <xf borderId="7" fillId="22" fontId="2" numFmtId="0" xfId="0" applyAlignment="1" applyBorder="1" applyFont="1">
      <alignment horizontal="center"/>
    </xf>
    <xf borderId="7" fillId="22" fontId="12" numFmtId="0" xfId="0" applyAlignment="1" applyBorder="1" applyFont="1">
      <alignment horizontal="center"/>
    </xf>
    <xf borderId="7" fillId="22" fontId="28" numFmtId="0" xfId="0" applyAlignment="1" applyBorder="1" applyFont="1">
      <alignment horizontal="center"/>
    </xf>
    <xf borderId="2" fillId="22" fontId="9" numFmtId="0" xfId="0" applyAlignment="1" applyBorder="1" applyFont="1">
      <alignment horizontal="center" shrinkToFit="0" wrapText="1"/>
    </xf>
    <xf borderId="7" fillId="22" fontId="4" numFmtId="3" xfId="0" applyAlignment="1" applyBorder="1" applyFont="1" applyNumberFormat="1">
      <alignment horizontal="right" vertical="bottom"/>
    </xf>
    <xf borderId="7" fillId="22" fontId="4" numFmtId="3" xfId="0" applyAlignment="1" applyBorder="1" applyFont="1" applyNumberFormat="1">
      <alignment vertical="bottom"/>
    </xf>
    <xf borderId="30" fillId="22" fontId="2" numFmtId="0" xfId="0" applyAlignment="1" applyBorder="1" applyFont="1">
      <alignment horizontal="center" vertical="bottom"/>
    </xf>
    <xf borderId="30" fillId="22" fontId="28" numFmtId="0" xfId="0" applyAlignment="1" applyBorder="1" applyFont="1">
      <alignment horizontal="center"/>
    </xf>
    <xf borderId="7" fillId="8" fontId="2" numFmtId="0" xfId="0" applyAlignment="1" applyBorder="1" applyFont="1">
      <alignment horizontal="center"/>
    </xf>
    <xf borderId="7" fillId="8" fontId="4" numFmtId="0" xfId="0" applyAlignment="1" applyBorder="1" applyFont="1">
      <alignment vertical="bottom"/>
    </xf>
    <xf borderId="7" fillId="8" fontId="12" numFmtId="0" xfId="0" applyAlignment="1" applyBorder="1" applyFont="1">
      <alignment horizontal="center"/>
    </xf>
    <xf borderId="7" fillId="8" fontId="27" numFmtId="0" xfId="0" applyAlignment="1" applyBorder="1" applyFont="1">
      <alignment horizontal="center"/>
    </xf>
    <xf borderId="30" fillId="0" fontId="5" numFmtId="0" xfId="0" applyAlignment="1" applyBorder="1" applyFont="1">
      <alignment horizontal="center" readingOrder="0"/>
    </xf>
    <xf borderId="18" fillId="13" fontId="2" numFmtId="0" xfId="0" applyAlignment="1" applyBorder="1" applyFont="1">
      <alignment horizontal="center"/>
    </xf>
    <xf borderId="18" fillId="13" fontId="4" numFmtId="0" xfId="0" applyAlignment="1" applyBorder="1" applyFont="1">
      <alignment vertical="bottom"/>
    </xf>
    <xf borderId="18" fillId="13" fontId="12" numFmtId="0" xfId="0" applyAlignment="1" applyBorder="1" applyFont="1">
      <alignment horizontal="center"/>
    </xf>
    <xf borderId="18" fillId="13" fontId="27" numFmtId="0" xfId="0" applyAlignment="1" applyBorder="1" applyFont="1">
      <alignment horizontal="center"/>
    </xf>
    <xf borderId="18" fillId="6" fontId="2" numFmtId="0" xfId="0" applyAlignment="1" applyBorder="1" applyFont="1">
      <alignment horizontal="center" readingOrder="0" shrinkToFit="0" wrapText="1"/>
    </xf>
    <xf borderId="53" fillId="3" fontId="9" numFmtId="0" xfId="0" applyAlignment="1" applyBorder="1" applyFont="1">
      <alignment shrinkToFit="0" vertical="center" wrapText="1"/>
    </xf>
    <xf borderId="30" fillId="9" fontId="4" numFmtId="0" xfId="0" applyAlignment="1" applyBorder="1" applyFont="1">
      <alignment vertical="bottom"/>
    </xf>
    <xf borderId="30" fillId="9" fontId="12" numFmtId="0" xfId="0" applyAlignment="1" applyBorder="1" applyFont="1">
      <alignment horizontal="center"/>
    </xf>
    <xf borderId="30" fillId="9" fontId="27" numFmtId="0" xfId="0" applyAlignment="1" applyBorder="1" applyFont="1">
      <alignment horizontal="center"/>
    </xf>
    <xf borderId="16" fillId="3" fontId="6" numFmtId="0" xfId="0" applyAlignment="1" applyBorder="1" applyFont="1">
      <alignment horizontal="center" shrinkToFit="0" wrapText="1"/>
    </xf>
    <xf borderId="20" fillId="0" fontId="6" numFmtId="165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 readingOrder="0"/>
    </xf>
    <xf borderId="7" fillId="15" fontId="12" numFmtId="0" xfId="0" applyAlignment="1" applyBorder="1" applyFont="1">
      <alignment horizontal="center"/>
    </xf>
    <xf borderId="7" fillId="15" fontId="27" numFmtId="0" xfId="0" applyAlignment="1" applyBorder="1" applyFont="1">
      <alignment horizontal="center"/>
    </xf>
    <xf borderId="2" fillId="0" fontId="9" numFmtId="0" xfId="0" applyAlignment="1" applyBorder="1" applyFont="1">
      <alignment shrinkToFit="0" vertical="center" wrapText="1"/>
    </xf>
    <xf borderId="21" fillId="0" fontId="6" numFmtId="0" xfId="0" applyAlignment="1" applyBorder="1" applyFont="1">
      <alignment horizontal="center" readingOrder="0"/>
    </xf>
    <xf borderId="29" fillId="0" fontId="6" numFmtId="0" xfId="0" applyAlignment="1" applyBorder="1" applyFont="1">
      <alignment horizontal="center"/>
    </xf>
    <xf borderId="0" fillId="20" fontId="1" numFmtId="0" xfId="0" applyAlignment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7" fillId="0" fontId="5" numFmtId="0" xfId="0" applyBorder="1" applyFont="1"/>
    <xf borderId="8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40" fillId="4" fontId="11" numFmtId="0" xfId="0" applyAlignment="1" applyBorder="1" applyFont="1">
      <alignment horizontal="center"/>
    </xf>
    <xf borderId="15" fillId="4" fontId="2" numFmtId="0" xfId="0" applyAlignment="1" applyBorder="1" applyFont="1">
      <alignment horizontal="center" shrinkToFit="0" wrapText="1"/>
    </xf>
    <xf borderId="48" fillId="4" fontId="2" numFmtId="0" xfId="0" applyAlignment="1" applyBorder="1" applyFont="1">
      <alignment horizontal="center" shrinkToFit="0" wrapText="1"/>
    </xf>
    <xf borderId="9" fillId="3" fontId="6" numFmtId="165" xfId="0" applyAlignment="1" applyBorder="1" applyFont="1" applyNumberFormat="1">
      <alignment horizontal="center" shrinkToFit="0" wrapText="1"/>
    </xf>
    <xf borderId="13" fillId="0" fontId="4" numFmtId="0" xfId="0" applyAlignment="1" applyBorder="1" applyFont="1">
      <alignment vertical="bottom"/>
    </xf>
    <xf borderId="7" fillId="0" fontId="4" numFmtId="0" xfId="0" applyBorder="1" applyFont="1"/>
    <xf borderId="3" fillId="0" fontId="2" numFmtId="3" xfId="0" applyAlignment="1" applyBorder="1" applyFont="1" applyNumberFormat="1">
      <alignment horizontal="right"/>
    </xf>
    <xf borderId="21" fillId="10" fontId="6" numFmtId="0" xfId="0" applyAlignment="1" applyBorder="1" applyFont="1">
      <alignment horizontal="center" readingOrder="0" shrinkToFit="0" wrapText="1"/>
    </xf>
    <xf borderId="24" fillId="0" fontId="4" numFmtId="3" xfId="0" applyAlignment="1" applyBorder="1" applyFont="1" applyNumberFormat="1">
      <alignment horizontal="right" vertical="bottom"/>
    </xf>
    <xf borderId="18" fillId="6" fontId="6" numFmtId="0" xfId="0" applyAlignment="1" applyBorder="1" applyFont="1">
      <alignment horizontal="center" vertical="bottom"/>
    </xf>
    <xf borderId="24" fillId="0" fontId="4" numFmtId="0" xfId="0" applyAlignment="1" applyBorder="1" applyFont="1">
      <alignment vertical="bottom"/>
    </xf>
    <xf borderId="29" fillId="21" fontId="6" numFmtId="0" xfId="0" applyAlignment="1" applyBorder="1" applyFont="1">
      <alignment horizontal="center" shrinkToFit="0" wrapText="1"/>
    </xf>
    <xf borderId="30" fillId="21" fontId="2" numFmtId="0" xfId="0" applyAlignment="1" applyBorder="1" applyFont="1">
      <alignment horizontal="center"/>
    </xf>
    <xf borderId="30" fillId="21" fontId="4" numFmtId="0" xfId="0" applyBorder="1" applyFont="1"/>
    <xf borderId="30" fillId="21" fontId="6" numFmtId="0" xfId="0" applyAlignment="1" applyBorder="1" applyFont="1">
      <alignment horizontal="center" vertical="bottom"/>
    </xf>
    <xf borderId="30" fillId="21" fontId="6" numFmtId="0" xfId="0" applyAlignment="1" applyBorder="1" applyFont="1">
      <alignment horizontal="center"/>
    </xf>
    <xf borderId="30" fillId="21" fontId="4" numFmtId="0" xfId="0" applyAlignment="1" applyBorder="1" applyFont="1">
      <alignment vertical="bottom"/>
    </xf>
    <xf borderId="34" fillId="21" fontId="4" numFmtId="3" xfId="0" applyAlignment="1" applyBorder="1" applyFont="1" applyNumberFormat="1">
      <alignment horizontal="right" vertical="bottom"/>
    </xf>
    <xf borderId="30" fillId="21" fontId="4" numFmtId="3" xfId="0" applyAlignment="1" applyBorder="1" applyFont="1" applyNumberFormat="1">
      <alignment vertical="bottom"/>
    </xf>
    <xf borderId="30" fillId="21" fontId="4" numFmtId="3" xfId="0" applyAlignment="1" applyBorder="1" applyFont="1" applyNumberFormat="1">
      <alignment horizontal="right" vertical="bottom"/>
    </xf>
    <xf borderId="24" fillId="3" fontId="4" numFmtId="3" xfId="0" applyAlignment="1" applyBorder="1" applyFont="1" applyNumberFormat="1">
      <alignment horizontal="right" shrinkToFit="0" vertical="bottom" wrapText="1"/>
    </xf>
    <xf borderId="18" fillId="3" fontId="4" numFmtId="3" xfId="0" applyAlignment="1" applyBorder="1" applyFont="1" applyNumberFormat="1">
      <alignment horizontal="right"/>
    </xf>
    <xf borderId="0" fillId="0" fontId="4" numFmtId="0" xfId="0" applyAlignment="1" applyFont="1">
      <alignment shrinkToFit="0" vertical="bottom" wrapText="1"/>
    </xf>
    <xf borderId="21" fillId="14" fontId="6" numFmtId="0" xfId="0" applyAlignment="1" applyBorder="1" applyFont="1">
      <alignment horizontal="center" shrinkToFit="0" wrapText="1"/>
    </xf>
    <xf borderId="18" fillId="14" fontId="4" numFmtId="0" xfId="0" applyBorder="1" applyFont="1"/>
    <xf borderId="18" fillId="14" fontId="6" numFmtId="0" xfId="0" applyAlignment="1" applyBorder="1" applyFont="1">
      <alignment horizontal="center"/>
    </xf>
    <xf borderId="29" fillId="10" fontId="6" numFmtId="0" xfId="0" applyAlignment="1" applyBorder="1" applyFont="1">
      <alignment horizontal="center" shrinkToFit="0" wrapText="1"/>
    </xf>
    <xf borderId="30" fillId="10" fontId="2" numFmtId="0" xfId="0" applyAlignment="1" applyBorder="1" applyFont="1">
      <alignment horizontal="center"/>
    </xf>
    <xf borderId="30" fillId="10" fontId="6" numFmtId="0" xfId="0" applyAlignment="1" applyBorder="1" applyFont="1">
      <alignment horizontal="center" vertical="bottom"/>
    </xf>
    <xf borderId="30" fillId="10" fontId="6" numFmtId="0" xfId="0" applyAlignment="1" applyBorder="1" applyFont="1">
      <alignment horizontal="center"/>
    </xf>
    <xf borderId="30" fillId="10" fontId="4" numFmtId="0" xfId="0" applyAlignment="1" applyBorder="1" applyFont="1">
      <alignment vertical="bottom"/>
    </xf>
    <xf borderId="34" fillId="0" fontId="4" numFmtId="3" xfId="0" applyAlignment="1" applyBorder="1" applyFont="1" applyNumberFormat="1">
      <alignment horizontal="right" vertical="bottom"/>
    </xf>
    <xf borderId="30" fillId="0" fontId="4" numFmtId="0" xfId="0" applyAlignment="1" applyBorder="1" applyFont="1">
      <alignment shrinkToFit="0" wrapText="1"/>
    </xf>
    <xf borderId="10" fillId="5" fontId="6" numFmtId="0" xfId="0" applyAlignment="1" applyBorder="1" applyFont="1">
      <alignment horizontal="center"/>
    </xf>
    <xf borderId="2" fillId="3" fontId="11" numFmtId="0" xfId="0" applyBorder="1" applyFont="1"/>
    <xf borderId="30" fillId="0" fontId="5" numFmtId="0" xfId="0" applyBorder="1" applyFont="1"/>
    <xf borderId="31" fillId="0" fontId="5" numFmtId="0" xfId="0" applyBorder="1" applyFont="1"/>
    <xf borderId="21" fillId="18" fontId="6" numFmtId="0" xfId="0" applyAlignment="1" applyBorder="1" applyFont="1">
      <alignment horizontal="center"/>
    </xf>
    <xf borderId="18" fillId="18" fontId="4" numFmtId="0" xfId="0" applyBorder="1" applyFont="1"/>
    <xf borderId="18" fillId="18" fontId="6" numFmtId="0" xfId="0" applyAlignment="1" applyBorder="1" applyFont="1">
      <alignment horizontal="center" vertical="bottom"/>
    </xf>
    <xf borderId="3" fillId="0" fontId="20" numFmtId="166" xfId="0" applyAlignment="1" applyBorder="1" applyFont="1" applyNumberFormat="1">
      <alignment vertical="center"/>
    </xf>
    <xf borderId="21" fillId="18" fontId="6" numFmtId="0" xfId="0" applyAlignment="1" applyBorder="1" applyFont="1">
      <alignment horizontal="center" shrinkToFit="0" wrapText="1"/>
    </xf>
    <xf borderId="52" fillId="3" fontId="6" numFmtId="0" xfId="0" applyAlignment="1" applyBorder="1" applyFont="1">
      <alignment horizontal="center" shrinkToFit="0" wrapText="1"/>
    </xf>
    <xf borderId="53" fillId="3" fontId="2" numFmtId="0" xfId="0" applyAlignment="1" applyBorder="1" applyFont="1">
      <alignment horizontal="center"/>
    </xf>
    <xf borderId="53" fillId="3" fontId="6" numFmtId="0" xfId="0" applyAlignment="1" applyBorder="1" applyFont="1">
      <alignment horizontal="center" vertical="bottom"/>
    </xf>
    <xf borderId="53" fillId="3" fontId="4" numFmtId="0" xfId="0" applyAlignment="1" applyBorder="1" applyFont="1">
      <alignment vertical="bottom"/>
    </xf>
    <xf borderId="10" fillId="9" fontId="6" numFmtId="0" xfId="0" applyAlignment="1" applyBorder="1" applyFont="1">
      <alignment horizontal="center" shrinkToFit="0" wrapText="1"/>
    </xf>
    <xf borderId="10" fillId="15" fontId="6" numFmtId="0" xfId="0" applyAlignment="1" applyBorder="1" applyFont="1">
      <alignment horizontal="center" shrinkToFit="0" wrapText="1"/>
    </xf>
    <xf borderId="13" fillId="0" fontId="4" numFmtId="3" xfId="0" applyAlignment="1" applyBorder="1" applyFont="1" applyNumberFormat="1">
      <alignment horizontal="right" vertical="bottom"/>
    </xf>
    <xf borderId="24" fillId="0" fontId="4" numFmtId="3" xfId="0" applyAlignment="1" applyBorder="1" applyFont="1" applyNumberFormat="1">
      <alignment horizontal="right" shrinkToFit="0" vertical="bottom" wrapText="1"/>
    </xf>
    <xf borderId="21" fillId="24" fontId="6" numFmtId="0" xfId="0" applyAlignment="1" applyBorder="1" applyFill="1" applyFont="1">
      <alignment horizontal="center" shrinkToFit="0" wrapText="1"/>
    </xf>
    <xf borderId="18" fillId="24" fontId="2" numFmtId="0" xfId="0" applyAlignment="1" applyBorder="1" applyFont="1">
      <alignment horizontal="center"/>
    </xf>
    <xf borderId="53" fillId="0" fontId="2" numFmtId="0" xfId="0" applyAlignment="1" applyBorder="1" applyFont="1">
      <alignment horizontal="center"/>
    </xf>
    <xf borderId="18" fillId="24" fontId="6" numFmtId="0" xfId="0" applyAlignment="1" applyBorder="1" applyFont="1">
      <alignment horizontal="center" vertical="bottom"/>
    </xf>
    <xf borderId="18" fillId="24" fontId="6" numFmtId="0" xfId="0" applyAlignment="1" applyBorder="1" applyFont="1">
      <alignment horizontal="center"/>
    </xf>
    <xf borderId="18" fillId="24" fontId="4" numFmtId="0" xfId="0" applyAlignment="1" applyBorder="1" applyFont="1">
      <alignment vertical="bottom"/>
    </xf>
    <xf borderId="24" fillId="24" fontId="4" numFmtId="3" xfId="0" applyAlignment="1" applyBorder="1" applyFont="1" applyNumberFormat="1">
      <alignment horizontal="right" vertical="bottom"/>
    </xf>
    <xf borderId="18" fillId="24" fontId="4" numFmtId="0" xfId="0" applyAlignment="1" applyBorder="1" applyFont="1">
      <alignment horizontal="center" shrinkToFit="0" wrapText="1"/>
    </xf>
    <xf borderId="18" fillId="24" fontId="4" numFmtId="3" xfId="0" applyAlignment="1" applyBorder="1" applyFont="1" applyNumberFormat="1">
      <alignment horizontal="right" vertical="bottom"/>
    </xf>
    <xf borderId="30" fillId="7" fontId="2" numFmtId="0" xfId="0" applyAlignment="1" applyBorder="1" applyFont="1">
      <alignment horizontal="center"/>
    </xf>
    <xf borderId="30" fillId="7" fontId="6" numFmtId="0" xfId="0" applyAlignment="1" applyBorder="1" applyFont="1">
      <alignment horizontal="center" vertical="bottom"/>
    </xf>
    <xf borderId="30" fillId="7" fontId="4" numFmtId="0" xfId="0" applyAlignment="1" applyBorder="1" applyFont="1">
      <alignment vertical="bottom"/>
    </xf>
    <xf borderId="2" fillId="9" fontId="11" numFmtId="0" xfId="0" applyAlignment="1" applyBorder="1" applyFont="1">
      <alignment shrinkToFit="0" wrapText="1"/>
    </xf>
    <xf borderId="29" fillId="9" fontId="6" numFmtId="0" xfId="0" applyAlignment="1" applyBorder="1" applyFont="1">
      <alignment horizontal="center" shrinkToFit="0" wrapText="1"/>
    </xf>
    <xf borderId="30" fillId="9" fontId="4" numFmtId="0" xfId="0" applyBorder="1" applyFont="1"/>
    <xf borderId="30" fillId="9" fontId="6" numFmtId="0" xfId="0" applyAlignment="1" applyBorder="1" applyFont="1">
      <alignment horizontal="center"/>
    </xf>
    <xf borderId="34" fillId="0" fontId="4" numFmtId="0" xfId="0" applyAlignment="1" applyBorder="1" applyFont="1">
      <alignment vertical="bottom"/>
    </xf>
    <xf borderId="10" fillId="24" fontId="6" numFmtId="0" xfId="0" applyAlignment="1" applyBorder="1" applyFont="1">
      <alignment horizontal="center" shrinkToFit="0" wrapText="1"/>
    </xf>
    <xf borderId="7" fillId="24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 shrinkToFit="0" wrapText="1"/>
    </xf>
    <xf borderId="7" fillId="24" fontId="6" numFmtId="0" xfId="0" applyAlignment="1" applyBorder="1" applyFont="1">
      <alignment horizontal="center" vertical="bottom"/>
    </xf>
    <xf borderId="7" fillId="24" fontId="6" numFmtId="0" xfId="0" applyAlignment="1" applyBorder="1" applyFont="1">
      <alignment horizontal="center"/>
    </xf>
    <xf borderId="7" fillId="24" fontId="4" numFmtId="0" xfId="0" applyAlignment="1" applyBorder="1" applyFont="1">
      <alignment vertical="bottom"/>
    </xf>
    <xf borderId="13" fillId="24" fontId="4" numFmtId="3" xfId="0" applyAlignment="1" applyBorder="1" applyFont="1" applyNumberFormat="1">
      <alignment horizontal="right" vertical="bottom"/>
    </xf>
    <xf borderId="7" fillId="24" fontId="4" numFmtId="0" xfId="0" applyAlignment="1" applyBorder="1" applyFont="1">
      <alignment shrinkToFit="0" wrapText="1"/>
    </xf>
    <xf borderId="7" fillId="24" fontId="4" numFmtId="3" xfId="0" applyAlignment="1" applyBorder="1" applyFont="1" applyNumberFormat="1">
      <alignment horizontal="right" vertical="bottom"/>
    </xf>
    <xf borderId="21" fillId="15" fontId="6" numFmtId="0" xfId="0" applyAlignment="1" applyBorder="1" applyFont="1">
      <alignment horizontal="center" shrinkToFit="0" wrapText="1"/>
    </xf>
    <xf borderId="18" fillId="15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/>
    </xf>
    <xf borderId="18" fillId="7" fontId="6" numFmtId="0" xfId="0" applyAlignment="1" applyBorder="1" applyFont="1">
      <alignment horizontal="center" vertical="bottom"/>
    </xf>
    <xf borderId="18" fillId="21" fontId="6" numFmtId="0" xfId="0" applyAlignment="1" applyBorder="1" applyFont="1">
      <alignment horizontal="center" vertical="bottom"/>
    </xf>
    <xf borderId="18" fillId="21" fontId="6" numFmtId="0" xfId="0" applyAlignment="1" applyBorder="1" applyFont="1">
      <alignment horizontal="center"/>
    </xf>
    <xf borderId="24" fillId="21" fontId="4" numFmtId="3" xfId="0" applyAlignment="1" applyBorder="1" applyFont="1" applyNumberFormat="1">
      <alignment horizontal="right" vertical="bottom"/>
    </xf>
    <xf borderId="30" fillId="0" fontId="2" numFmtId="0" xfId="0" applyAlignment="1" applyBorder="1" applyFont="1">
      <alignment horizontal="center"/>
    </xf>
    <xf borderId="30" fillId="0" fontId="6" numFmtId="0" xfId="0" applyAlignment="1" applyBorder="1" applyFont="1">
      <alignment horizontal="center" vertical="bottom"/>
    </xf>
    <xf borderId="30" fillId="0" fontId="6" numFmtId="0" xfId="0" applyAlignment="1" applyBorder="1" applyFont="1">
      <alignment horizontal="center"/>
    </xf>
    <xf borderId="10" fillId="10" fontId="6" numFmtId="0" xfId="0" applyAlignment="1" applyBorder="1" applyFont="1">
      <alignment horizontal="center" shrinkToFit="0" wrapText="1"/>
    </xf>
    <xf borderId="7" fillId="10" fontId="2" numFmtId="0" xfId="0" applyAlignment="1" applyBorder="1" applyFont="1">
      <alignment horizontal="center"/>
    </xf>
    <xf borderId="7" fillId="10" fontId="4" numFmtId="0" xfId="0" applyBorder="1" applyFont="1"/>
    <xf borderId="7" fillId="10" fontId="6" numFmtId="0" xfId="0" applyAlignment="1" applyBorder="1" applyFont="1">
      <alignment horizontal="center"/>
    </xf>
    <xf borderId="2" fillId="10" fontId="11" numFmtId="0" xfId="0" applyAlignment="1" applyBorder="1" applyFont="1">
      <alignment shrinkToFit="0" wrapText="1"/>
    </xf>
    <xf borderId="30" fillId="10" fontId="4" numFmtId="0" xfId="0" applyBorder="1" applyFont="1"/>
    <xf borderId="7" fillId="5" fontId="9" numFmtId="0" xfId="0" applyAlignment="1" applyBorder="1" applyFont="1">
      <alignment horizontal="center"/>
    </xf>
    <xf borderId="7" fillId="5" fontId="9" numFmtId="0" xfId="0" applyAlignment="1" applyBorder="1" applyFont="1">
      <alignment horizontal="center" shrinkToFit="0" wrapText="1"/>
    </xf>
    <xf borderId="7" fillId="5" fontId="7" numFmtId="0" xfId="0" applyAlignment="1" applyBorder="1" applyFont="1">
      <alignment horizontal="center"/>
    </xf>
    <xf borderId="62" fillId="3" fontId="4" numFmtId="0" xfId="0" applyAlignment="1" applyBorder="1" applyFont="1">
      <alignment vertical="bottom"/>
    </xf>
    <xf borderId="62" fillId="3" fontId="4" numFmtId="4" xfId="0" applyAlignment="1" applyBorder="1" applyFont="1" applyNumberFormat="1">
      <alignment vertical="bottom"/>
    </xf>
    <xf borderId="8" fillId="3" fontId="4" numFmtId="4" xfId="0" applyAlignment="1" applyBorder="1" applyFont="1" applyNumberFormat="1">
      <alignment vertical="bottom"/>
    </xf>
    <xf borderId="15" fillId="3" fontId="2" numFmtId="3" xfId="0" applyAlignment="1" applyBorder="1" applyFont="1" applyNumberFormat="1">
      <alignment horizontal="right"/>
    </xf>
    <xf borderId="21" fillId="8" fontId="6" numFmtId="0" xfId="0" applyAlignment="1" applyBorder="1" applyFont="1">
      <alignment horizontal="center" shrinkToFit="0" wrapText="1"/>
    </xf>
    <xf borderId="67" fillId="8" fontId="9" numFmtId="0" xfId="0" applyAlignment="1" applyBorder="1" applyFont="1">
      <alignment horizontal="center"/>
    </xf>
    <xf borderId="18" fillId="8" fontId="6" numFmtId="0" xfId="0" applyAlignment="1" applyBorder="1" applyFont="1">
      <alignment horizontal="center"/>
    </xf>
    <xf borderId="18" fillId="8" fontId="7" numFmtId="0" xfId="0" applyAlignment="1" applyBorder="1" applyFont="1">
      <alignment horizontal="center"/>
    </xf>
    <xf borderId="63" fillId="3" fontId="4" numFmtId="3" xfId="0" applyAlignment="1" applyBorder="1" applyFont="1" applyNumberFormat="1">
      <alignment horizontal="right" vertical="bottom"/>
    </xf>
    <xf borderId="63" fillId="3" fontId="4" numFmtId="3" xfId="0" applyAlignment="1" applyBorder="1" applyFont="1" applyNumberFormat="1">
      <alignment vertical="bottom"/>
    </xf>
    <xf borderId="19" fillId="3" fontId="4" numFmtId="3" xfId="0" applyAlignment="1" applyBorder="1" applyFont="1" applyNumberFormat="1">
      <alignment horizontal="right" vertical="bottom"/>
    </xf>
    <xf borderId="67" fillId="9" fontId="9" numFmtId="0" xfId="0" applyAlignment="1" applyBorder="1" applyFont="1">
      <alignment horizontal="center"/>
    </xf>
    <xf borderId="53" fillId="3" fontId="9" numFmtId="0" xfId="0" applyAlignment="1" applyBorder="1" applyFont="1">
      <alignment horizontal="center" shrinkToFit="0" vertical="center" wrapText="1"/>
    </xf>
    <xf borderId="18" fillId="9" fontId="7" numFmtId="0" xfId="0" applyAlignment="1" applyBorder="1" applyFont="1">
      <alignment horizontal="center"/>
    </xf>
    <xf borderId="63" fillId="3" fontId="4" numFmtId="0" xfId="0" applyAlignment="1" applyBorder="1" applyFont="1">
      <alignment vertical="bottom"/>
    </xf>
    <xf borderId="63" fillId="3" fontId="4" numFmtId="4" xfId="0" applyAlignment="1" applyBorder="1" applyFont="1" applyNumberFormat="1">
      <alignment vertical="bottom"/>
    </xf>
    <xf borderId="19" fillId="3" fontId="4" numFmtId="4" xfId="0" applyAlignment="1" applyBorder="1" applyFont="1" applyNumberFormat="1">
      <alignment vertical="bottom"/>
    </xf>
    <xf borderId="29" fillId="18" fontId="6" numFmtId="0" xfId="0" applyAlignment="1" applyBorder="1" applyFont="1">
      <alignment horizontal="center" shrinkToFit="0" wrapText="1"/>
    </xf>
    <xf borderId="37" fillId="18" fontId="9" numFmtId="0" xfId="0" applyAlignment="1" applyBorder="1" applyFont="1">
      <alignment horizontal="center"/>
    </xf>
    <xf borderId="30" fillId="18" fontId="6" numFmtId="0" xfId="0" applyAlignment="1" applyBorder="1" applyFont="1">
      <alignment horizontal="center"/>
    </xf>
    <xf borderId="64" fillId="3" fontId="4" numFmtId="0" xfId="0" applyAlignment="1" applyBorder="1" applyFont="1">
      <alignment vertical="bottom"/>
    </xf>
    <xf borderId="64" fillId="3" fontId="4" numFmtId="4" xfId="0" applyAlignment="1" applyBorder="1" applyFont="1" applyNumberFormat="1">
      <alignment vertical="bottom"/>
    </xf>
    <xf borderId="31" fillId="3" fontId="4" numFmtId="4" xfId="0" applyAlignment="1" applyBorder="1" applyFont="1" applyNumberFormat="1">
      <alignment vertical="bottom"/>
    </xf>
    <xf borderId="67" fillId="24" fontId="9" numFmtId="0" xfId="0" applyAlignment="1" applyBorder="1" applyFont="1">
      <alignment horizontal="center"/>
    </xf>
    <xf borderId="7" fillId="24" fontId="4" numFmtId="0" xfId="0" applyBorder="1" applyFont="1"/>
    <xf borderId="7" fillId="24" fontId="7" numFmtId="0" xfId="0" applyAlignment="1" applyBorder="1" applyFont="1">
      <alignment horizontal="center"/>
    </xf>
    <xf borderId="62" fillId="24" fontId="4" numFmtId="3" xfId="0" applyAlignment="1" applyBorder="1" applyFont="1" applyNumberFormat="1">
      <alignment horizontal="right" vertical="bottom"/>
    </xf>
    <xf borderId="62" fillId="24" fontId="4" numFmtId="4" xfId="0" applyAlignment="1" applyBorder="1" applyFont="1" applyNumberFormat="1">
      <alignment vertical="bottom"/>
    </xf>
    <xf borderId="8" fillId="24" fontId="4" numFmtId="4" xfId="0" applyAlignment="1" applyBorder="1" applyFont="1" applyNumberFormat="1">
      <alignment horizontal="right" vertical="bottom"/>
    </xf>
    <xf borderId="15" fillId="0" fontId="2" numFmtId="3" xfId="0" applyAlignment="1" applyBorder="1" applyFont="1" applyNumberFormat="1">
      <alignment horizontal="right"/>
    </xf>
    <xf borderId="67" fillId="21" fontId="9" numFmtId="0" xfId="0" applyAlignment="1" applyBorder="1" applyFont="1">
      <alignment horizontal="center"/>
    </xf>
    <xf borderId="18" fillId="21" fontId="4" numFmtId="0" xfId="0" applyBorder="1" applyFont="1"/>
    <xf borderId="18" fillId="21" fontId="7" numFmtId="0" xfId="0" applyAlignment="1" applyBorder="1" applyFont="1">
      <alignment horizontal="center"/>
    </xf>
    <xf borderId="19" fillId="3" fontId="4" numFmtId="4" xfId="0" applyAlignment="1" applyBorder="1" applyFont="1" applyNumberFormat="1">
      <alignment horizontal="right" vertical="bottom"/>
    </xf>
    <xf borderId="21" fillId="5" fontId="6" numFmtId="0" xfId="0" applyAlignment="1" applyBorder="1" applyFont="1">
      <alignment horizontal="center" shrinkToFit="0" wrapText="1"/>
    </xf>
    <xf borderId="67" fillId="5" fontId="9" numFmtId="0" xfId="0" applyAlignment="1" applyBorder="1" applyFont="1">
      <alignment horizontal="center"/>
    </xf>
    <xf borderId="18" fillId="5" fontId="7" numFmtId="0" xfId="0" applyAlignment="1" applyBorder="1" applyFont="1">
      <alignment horizontal="center"/>
    </xf>
    <xf borderId="18" fillId="9" fontId="9" numFmtId="0" xfId="0" applyAlignment="1" applyBorder="1" applyFont="1">
      <alignment shrinkToFit="0" wrapText="1"/>
    </xf>
    <xf borderId="29" fillId="18" fontId="6" numFmtId="0" xfId="0" applyAlignment="1" applyBorder="1" applyFont="1">
      <alignment horizontal="center"/>
    </xf>
    <xf borderId="30" fillId="18" fontId="9" numFmtId="0" xfId="0" applyAlignment="1" applyBorder="1" applyFont="1">
      <alignment horizontal="center" shrinkToFit="0" wrapText="1"/>
    </xf>
    <xf borderId="7" fillId="5" fontId="17" numFmtId="0" xfId="0" applyAlignment="1" applyBorder="1" applyFont="1">
      <alignment horizontal="center"/>
    </xf>
    <xf borderId="8" fillId="5" fontId="4" numFmtId="0" xfId="0" applyAlignment="1" applyBorder="1" applyFont="1">
      <alignment vertical="bottom"/>
    </xf>
    <xf borderId="18" fillId="18" fontId="9" numFmtId="0" xfId="0" applyAlignment="1" applyBorder="1" applyFont="1">
      <alignment horizontal="center"/>
    </xf>
    <xf borderId="18" fillId="18" fontId="17" numFmtId="0" xfId="0" applyAlignment="1" applyBorder="1" applyFont="1">
      <alignment horizontal="center"/>
    </xf>
    <xf borderId="18" fillId="9" fontId="17" numFmtId="0" xfId="0" applyAlignment="1" applyBorder="1" applyFont="1">
      <alignment horizontal="center"/>
    </xf>
    <xf borderId="19" fillId="9" fontId="4" numFmtId="0" xfId="0" applyAlignment="1" applyBorder="1" applyFont="1">
      <alignment vertical="bottom"/>
    </xf>
    <xf borderId="52" fillId="24" fontId="6" numFmtId="0" xfId="0" applyAlignment="1" applyBorder="1" applyFont="1">
      <alignment horizontal="center" shrinkToFit="0" wrapText="1"/>
    </xf>
    <xf borderId="17" fillId="24" fontId="9" numFmtId="0" xfId="0" applyAlignment="1" applyBorder="1" applyFont="1">
      <alignment horizontal="center"/>
    </xf>
    <xf borderId="53" fillId="24" fontId="4" numFmtId="0" xfId="0" applyBorder="1" applyFont="1"/>
    <xf borderId="53" fillId="24" fontId="6" numFmtId="0" xfId="0" applyAlignment="1" applyBorder="1" applyFont="1">
      <alignment horizontal="center" vertical="bottom"/>
    </xf>
    <xf borderId="53" fillId="24" fontId="17" numFmtId="0" xfId="0" applyAlignment="1" applyBorder="1" applyFont="1">
      <alignment horizontal="center"/>
    </xf>
    <xf borderId="68" fillId="24" fontId="4" numFmtId="0" xfId="0" applyAlignment="1" applyBorder="1" applyFont="1">
      <alignment vertical="bottom"/>
    </xf>
    <xf borderId="71" fillId="24" fontId="4" numFmtId="3" xfId="0" applyAlignment="1" applyBorder="1" applyFont="1" applyNumberFormat="1">
      <alignment horizontal="right" vertical="bottom"/>
    </xf>
    <xf borderId="71" fillId="24" fontId="4" numFmtId="3" xfId="0" applyAlignment="1" applyBorder="1" applyFont="1" applyNumberFormat="1">
      <alignment vertical="bottom"/>
    </xf>
    <xf borderId="68" fillId="24" fontId="4" numFmtId="3" xfId="0" applyAlignment="1" applyBorder="1" applyFont="1" applyNumberFormat="1">
      <alignment horizontal="right" vertical="bottom"/>
    </xf>
    <xf borderId="7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/>
    </xf>
    <xf borderId="3" fillId="0" fontId="9" numFmtId="0" xfId="0" applyAlignment="1" applyBorder="1" applyFont="1">
      <alignment horizontal="center" shrinkToFit="0" wrapText="1"/>
    </xf>
    <xf borderId="40" fillId="3" fontId="4" numFmtId="0" xfId="0" applyAlignment="1" applyBorder="1" applyFont="1">
      <alignment vertical="bottom"/>
    </xf>
    <xf borderId="40" fillId="3" fontId="4" numFmtId="4" xfId="0" applyAlignment="1" applyBorder="1" applyFont="1" applyNumberFormat="1">
      <alignment vertical="bottom"/>
    </xf>
    <xf borderId="3" fillId="3" fontId="4" numFmtId="4" xfId="0" applyAlignment="1" applyBorder="1" applyFont="1" applyNumberFormat="1">
      <alignment vertical="bottom"/>
    </xf>
    <xf borderId="26" fillId="0" fontId="2" numFmtId="3" xfId="0" applyAlignment="1" applyBorder="1" applyFont="1" applyNumberFormat="1">
      <alignment horizontal="right"/>
    </xf>
    <xf borderId="29" fillId="21" fontId="6" numFmtId="0" xfId="0" applyAlignment="1" applyBorder="1" applyFont="1">
      <alignment horizontal="center"/>
    </xf>
    <xf borderId="37" fillId="21" fontId="9" numFmtId="0" xfId="0" applyAlignment="1" applyBorder="1" applyFont="1">
      <alignment horizontal="center"/>
    </xf>
    <xf borderId="30" fillId="0" fontId="4" numFmtId="0" xfId="0" applyBorder="1" applyFont="1"/>
    <xf borderId="30" fillId="21" fontId="7" numFmtId="0" xfId="0" applyAlignment="1" applyBorder="1" applyFont="1">
      <alignment horizontal="center"/>
    </xf>
    <xf borderId="64" fillId="21" fontId="4" numFmtId="3" xfId="0" applyAlignment="1" applyBorder="1" applyFont="1" applyNumberFormat="1">
      <alignment horizontal="right" vertical="bottom"/>
    </xf>
    <xf borderId="64" fillId="21" fontId="4" numFmtId="3" xfId="0" applyAlignment="1" applyBorder="1" applyFont="1" applyNumberFormat="1">
      <alignment vertical="bottom"/>
    </xf>
    <xf borderId="31" fillId="21" fontId="4" numFmtId="3" xfId="0" applyAlignment="1" applyBorder="1" applyFont="1" applyNumberFormat="1">
      <alignment horizontal="right" vertical="bottom"/>
    </xf>
    <xf borderId="2" fillId="3" fontId="9" numFmtId="0" xfId="0" applyAlignment="1" applyBorder="1" applyFont="1">
      <alignment horizontal="center" shrinkToFit="0" wrapText="1"/>
    </xf>
    <xf borderId="18" fillId="0" fontId="4" numFmtId="0" xfId="0" applyAlignment="1" applyBorder="1" applyFont="1">
      <alignment horizontal="center" shrinkToFit="0" wrapText="1"/>
    </xf>
    <xf borderId="15" fillId="3" fontId="2" numFmtId="3" xfId="0" applyAlignment="1" applyBorder="1" applyFont="1" applyNumberFormat="1">
      <alignment horizontal="right" shrinkToFit="0" wrapText="1"/>
    </xf>
    <xf borderId="67" fillId="0" fontId="9" numFmtId="0" xfId="0" applyAlignment="1" applyBorder="1" applyFont="1">
      <alignment horizontal="center"/>
    </xf>
    <xf borderId="18" fillId="0" fontId="17" numFmtId="0" xfId="0" applyAlignment="1" applyBorder="1" applyFont="1">
      <alignment horizontal="center"/>
    </xf>
    <xf borderId="52" fillId="21" fontId="6" numFmtId="0" xfId="0" applyAlignment="1" applyBorder="1" applyFont="1">
      <alignment horizontal="center" shrinkToFit="0" wrapText="1"/>
    </xf>
    <xf borderId="17" fillId="21" fontId="9" numFmtId="0" xfId="0" applyAlignment="1" applyBorder="1" applyFont="1">
      <alignment horizontal="center"/>
    </xf>
    <xf borderId="53" fillId="21" fontId="4" numFmtId="0" xfId="0" applyBorder="1" applyFont="1"/>
    <xf borderId="53" fillId="21" fontId="6" numFmtId="0" xfId="0" applyAlignment="1" applyBorder="1" applyFont="1">
      <alignment horizontal="center" vertical="bottom"/>
    </xf>
    <xf borderId="53" fillId="21" fontId="17" numFmtId="0" xfId="0" applyAlignment="1" applyBorder="1" applyFont="1">
      <alignment horizontal="center"/>
    </xf>
    <xf borderId="68" fillId="0" fontId="4" numFmtId="0" xfId="0" applyAlignment="1" applyBorder="1" applyFont="1">
      <alignment vertical="bottom"/>
    </xf>
    <xf borderId="71" fillId="21" fontId="4" numFmtId="3" xfId="0" applyAlignment="1" applyBorder="1" applyFont="1" applyNumberFormat="1">
      <alignment horizontal="right" vertical="bottom"/>
    </xf>
    <xf borderId="71" fillId="21" fontId="4" numFmtId="3" xfId="0" applyAlignment="1" applyBorder="1" applyFont="1" applyNumberFormat="1">
      <alignment vertical="bottom"/>
    </xf>
    <xf borderId="68" fillId="21" fontId="4" numFmtId="3" xfId="0" applyAlignment="1" applyBorder="1" applyFont="1" applyNumberFormat="1">
      <alignment horizontal="right" vertical="bottom"/>
    </xf>
    <xf borderId="10" fillId="18" fontId="6" numFmtId="0" xfId="0" applyAlignment="1" applyBorder="1" applyFont="1">
      <alignment horizontal="center"/>
    </xf>
    <xf borderId="7" fillId="18" fontId="9" numFmtId="0" xfId="0" applyAlignment="1" applyBorder="1" applyFont="1">
      <alignment horizontal="center"/>
    </xf>
    <xf borderId="7" fillId="18" fontId="4" numFmtId="0" xfId="0" applyBorder="1" applyFont="1"/>
    <xf borderId="7" fillId="18" fontId="6" numFmtId="0" xfId="0" applyAlignment="1" applyBorder="1" applyFont="1">
      <alignment horizontal="center"/>
    </xf>
    <xf borderId="7" fillId="18" fontId="7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26" fillId="3" fontId="2" numFmtId="3" xfId="0" applyAlignment="1" applyBorder="1" applyFont="1" applyNumberFormat="1">
      <alignment horizontal="right" vertical="bottom"/>
    </xf>
    <xf borderId="29" fillId="24" fontId="6" numFmtId="0" xfId="0" applyAlignment="1" applyBorder="1" applyFont="1">
      <alignment horizontal="center"/>
    </xf>
    <xf borderId="37" fillId="24" fontId="9" numFmtId="0" xfId="0" applyAlignment="1" applyBorder="1" applyFont="1">
      <alignment horizontal="center"/>
    </xf>
    <xf borderId="30" fillId="24" fontId="4" numFmtId="0" xfId="0" applyBorder="1" applyFont="1"/>
    <xf borderId="30" fillId="24" fontId="6" numFmtId="0" xfId="0" applyAlignment="1" applyBorder="1" applyFont="1">
      <alignment horizontal="center" shrinkToFit="0" wrapText="1"/>
    </xf>
    <xf borderId="30" fillId="24" fontId="7" numFmtId="0" xfId="0" applyAlignment="1" applyBorder="1" applyFont="1">
      <alignment horizontal="center"/>
    </xf>
    <xf borderId="64" fillId="24" fontId="4" numFmtId="3" xfId="0" applyAlignment="1" applyBorder="1" applyFont="1" applyNumberFormat="1">
      <alignment horizontal="right" vertical="bottom"/>
    </xf>
    <xf borderId="64" fillId="24" fontId="4" numFmtId="4" xfId="0" applyAlignment="1" applyBorder="1" applyFont="1" applyNumberFormat="1">
      <alignment vertical="bottom"/>
    </xf>
    <xf borderId="31" fillId="24" fontId="4" numFmtId="4" xfId="0" applyAlignment="1" applyBorder="1" applyFont="1" applyNumberFormat="1">
      <alignment horizontal="right" vertical="bottom"/>
    </xf>
    <xf borderId="7" fillId="9" fontId="7" numFmtId="0" xfId="0" applyAlignment="1" applyBorder="1" applyFont="1">
      <alignment horizontal="center"/>
    </xf>
    <xf borderId="8" fillId="9" fontId="4" numFmtId="0" xfId="0" applyAlignment="1" applyBorder="1" applyFont="1">
      <alignment vertical="bottom"/>
    </xf>
    <xf borderId="18" fillId="0" fontId="4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67" fillId="7" fontId="9" numFmtId="0" xfId="0" applyAlignment="1" applyBorder="1" applyFont="1">
      <alignment horizontal="center"/>
    </xf>
    <xf borderId="18" fillId="7" fontId="4" numFmtId="0" xfId="0" applyBorder="1" applyFont="1"/>
    <xf borderId="18" fillId="7" fontId="7" numFmtId="0" xfId="0" applyAlignment="1" applyBorder="1" applyFont="1">
      <alignment horizontal="center"/>
    </xf>
    <xf borderId="19" fillId="7" fontId="4" numFmtId="0" xfId="0" applyAlignment="1" applyBorder="1" applyFont="1">
      <alignment vertical="bottom"/>
    </xf>
    <xf borderId="52" fillId="6" fontId="6" numFmtId="0" xfId="0" applyAlignment="1" applyBorder="1" applyFont="1">
      <alignment horizontal="center" shrinkToFit="0" wrapText="1"/>
    </xf>
    <xf borderId="17" fillId="6" fontId="9" numFmtId="0" xfId="0" applyAlignment="1" applyBorder="1" applyFont="1">
      <alignment horizontal="center"/>
    </xf>
    <xf borderId="53" fillId="6" fontId="4" numFmtId="0" xfId="0" applyBorder="1" applyFont="1"/>
    <xf borderId="53" fillId="6" fontId="6" numFmtId="0" xfId="0" applyAlignment="1" applyBorder="1" applyFont="1">
      <alignment horizontal="center" vertical="bottom"/>
    </xf>
    <xf borderId="53" fillId="6" fontId="7" numFmtId="0" xfId="0" applyAlignment="1" applyBorder="1" applyFont="1">
      <alignment horizontal="center"/>
    </xf>
    <xf borderId="68" fillId="6" fontId="4" numFmtId="0" xfId="0" applyAlignment="1" applyBorder="1" applyFont="1">
      <alignment vertical="bottom"/>
    </xf>
    <xf borderId="71" fillId="3" fontId="4" numFmtId="3" xfId="0" applyAlignment="1" applyBorder="1" applyFont="1" applyNumberFormat="1">
      <alignment horizontal="right" vertical="bottom"/>
    </xf>
    <xf borderId="71" fillId="3" fontId="4" numFmtId="3" xfId="0" applyAlignment="1" applyBorder="1" applyFont="1" applyNumberFormat="1">
      <alignment vertical="bottom"/>
    </xf>
    <xf borderId="68" fillId="3" fontId="4" numFmtId="3" xfId="0" applyAlignment="1" applyBorder="1" applyFont="1" applyNumberFormat="1">
      <alignment horizontal="right" vertical="bottom"/>
    </xf>
    <xf borderId="10" fillId="18" fontId="6" numFmtId="0" xfId="0" applyAlignment="1" applyBorder="1" applyFont="1">
      <alignment horizontal="center" shrinkToFit="0" wrapText="1"/>
    </xf>
    <xf borderId="7" fillId="18" fontId="9" numFmtId="0" xfId="0" applyAlignment="1" applyBorder="1" applyFont="1">
      <alignment horizontal="center" shrinkToFit="0" wrapText="1"/>
    </xf>
    <xf borderId="7" fillId="18" fontId="17" numFmtId="0" xfId="0" applyAlignment="1" applyBorder="1" applyFont="1">
      <alignment horizontal="center"/>
    </xf>
    <xf borderId="3" fillId="18" fontId="9" numFmtId="0" xfId="0" applyAlignment="1" applyBorder="1" applyFont="1">
      <alignment horizontal="center"/>
    </xf>
    <xf borderId="30" fillId="18" fontId="17" numFmtId="0" xfId="0" applyAlignment="1" applyBorder="1" applyFont="1">
      <alignment horizontal="center"/>
    </xf>
    <xf borderId="64" fillId="3" fontId="4" numFmtId="3" xfId="0" applyAlignment="1" applyBorder="1" applyFont="1" applyNumberFormat="1">
      <alignment horizontal="right" vertical="bottom"/>
    </xf>
    <xf borderId="64" fillId="3" fontId="4" numFmtId="3" xfId="0" applyAlignment="1" applyBorder="1" applyFont="1" applyNumberFormat="1">
      <alignment vertical="bottom"/>
    </xf>
    <xf borderId="31" fillId="3" fontId="4" numFmtId="3" xfId="0" applyAlignment="1" applyBorder="1" applyFont="1" applyNumberFormat="1">
      <alignment horizontal="right" vertical="bottom"/>
    </xf>
    <xf borderId="67" fillId="3" fontId="9" numFmtId="0" xfId="0" applyAlignment="1" applyBorder="1" applyFont="1">
      <alignment horizontal="center"/>
    </xf>
    <xf borderId="7" fillId="3" fontId="17" numFmtId="0" xfId="0" applyAlignment="1" applyBorder="1" applyFont="1">
      <alignment horizontal="center"/>
    </xf>
    <xf borderId="62" fillId="3" fontId="4" numFmtId="3" xfId="0" applyAlignment="1" applyBorder="1" applyFont="1" applyNumberFormat="1">
      <alignment horizontal="right" vertical="bottom"/>
    </xf>
    <xf borderId="62" fillId="3" fontId="4" numFmtId="3" xfId="0" applyAlignment="1" applyBorder="1" applyFont="1" applyNumberFormat="1">
      <alignment vertical="bottom"/>
    </xf>
    <xf borderId="8" fillId="3" fontId="4" numFmtId="3" xfId="0" applyAlignment="1" applyBorder="1" applyFont="1" applyNumberFormat="1">
      <alignment horizontal="right" vertical="bottom"/>
    </xf>
    <xf borderId="18" fillId="8" fontId="6" numFmtId="0" xfId="0" applyAlignment="1" applyBorder="1" applyFont="1">
      <alignment horizontal="center" vertical="bottom"/>
    </xf>
    <xf borderId="18" fillId="8" fontId="17" numFmtId="0" xfId="0" applyAlignment="1" applyBorder="1" applyFont="1">
      <alignment horizontal="center"/>
    </xf>
    <xf borderId="19" fillId="8" fontId="4" numFmtId="0" xfId="0" applyAlignment="1" applyBorder="1" applyFont="1">
      <alignment vertical="bottom"/>
    </xf>
    <xf borderId="67" fillId="6" fontId="9" numFmtId="0" xfId="0" applyAlignment="1" applyBorder="1" applyFont="1">
      <alignment horizontal="center"/>
    </xf>
    <xf borderId="18" fillId="6" fontId="17" numFmtId="0" xfId="0" applyAlignment="1" applyBorder="1" applyFont="1">
      <alignment horizontal="center"/>
    </xf>
    <xf borderId="19" fillId="6" fontId="4" numFmtId="0" xfId="0" applyAlignment="1" applyBorder="1" applyFont="1">
      <alignment vertical="bottom"/>
    </xf>
    <xf borderId="17" fillId="0" fontId="9" numFmtId="0" xfId="0" applyAlignment="1" applyBorder="1" applyFont="1">
      <alignment horizontal="center"/>
    </xf>
    <xf borderId="53" fillId="0" fontId="6" numFmtId="0" xfId="0" applyAlignment="1" applyBorder="1" applyFont="1">
      <alignment horizontal="center" vertical="bottom"/>
    </xf>
    <xf borderId="53" fillId="0" fontId="17" numFmtId="0" xfId="0" applyAlignment="1" applyBorder="1" applyFont="1">
      <alignment horizontal="center"/>
    </xf>
    <xf borderId="7" fillId="9" fontId="9" numFmtId="0" xfId="0" applyAlignment="1" applyBorder="1" applyFont="1">
      <alignment horizontal="center"/>
    </xf>
    <xf borderId="7" fillId="9" fontId="9" numFmtId="0" xfId="0" applyAlignment="1" applyBorder="1" applyFont="1">
      <alignment horizontal="center" shrinkToFit="0" wrapText="1"/>
    </xf>
    <xf borderId="3" fillId="9" fontId="9" numFmtId="0" xfId="0" applyAlignment="1" applyBorder="1" applyFont="1">
      <alignment horizontal="center"/>
    </xf>
    <xf borderId="37" fillId="9" fontId="9" numFmtId="0" xfId="0" applyAlignment="1" applyBorder="1" applyFont="1">
      <alignment horizontal="center"/>
    </xf>
    <xf borderId="30" fillId="9" fontId="9" numFmtId="0" xfId="0" applyAlignment="1" applyBorder="1" applyFont="1">
      <alignment horizontal="center" shrinkToFit="0" wrapText="1"/>
    </xf>
    <xf borderId="30" fillId="9" fontId="7" numFmtId="0" xfId="0" applyAlignment="1" applyBorder="1" applyFont="1">
      <alignment horizontal="center"/>
    </xf>
    <xf borderId="9" fillId="3" fontId="6" numFmtId="0" xfId="0" applyAlignment="1" applyBorder="1" applyFont="1">
      <alignment horizontal="center"/>
    </xf>
    <xf borderId="67" fillId="18" fontId="9" numFmtId="0" xfId="0" applyAlignment="1" applyBorder="1" applyFont="1">
      <alignment horizontal="center"/>
    </xf>
    <xf borderId="7" fillId="18" fontId="6" numFmtId="0" xfId="0" applyAlignment="1" applyBorder="1" applyFont="1">
      <alignment horizontal="center" vertical="bottom"/>
    </xf>
    <xf borderId="8" fillId="18" fontId="4" numFmtId="0" xfId="0" applyAlignment="1" applyBorder="1" applyFont="1">
      <alignment vertical="bottom"/>
    </xf>
    <xf borderId="18" fillId="7" fontId="17" numFmtId="0" xfId="0" applyAlignment="1" applyBorder="1" applyFont="1">
      <alignment horizontal="center"/>
    </xf>
    <xf borderId="29" fillId="24" fontId="6" numFmtId="0" xfId="0" applyAlignment="1" applyBorder="1" applyFont="1">
      <alignment horizontal="center" shrinkToFit="0" wrapText="1"/>
    </xf>
    <xf borderId="30" fillId="24" fontId="6" numFmtId="0" xfId="0" applyAlignment="1" applyBorder="1" applyFont="1">
      <alignment horizontal="center" vertical="bottom"/>
    </xf>
    <xf borderId="30" fillId="24" fontId="17" numFmtId="0" xfId="0" applyAlignment="1" applyBorder="1" applyFont="1">
      <alignment horizontal="center"/>
    </xf>
    <xf borderId="31" fillId="24" fontId="4" numFmtId="0" xfId="0" applyAlignment="1" applyBorder="1" applyFont="1">
      <alignment vertical="bottom"/>
    </xf>
    <xf borderId="64" fillId="24" fontId="4" numFmtId="3" xfId="0" applyAlignment="1" applyBorder="1" applyFont="1" applyNumberFormat="1">
      <alignment vertical="bottom"/>
    </xf>
    <xf borderId="31" fillId="24" fontId="4" numFmtId="3" xfId="0" applyAlignment="1" applyBorder="1" applyFont="1" applyNumberFormat="1">
      <alignment horizontal="right" vertical="bottom"/>
    </xf>
    <xf borderId="7" fillId="5" fontId="2" numFmtId="0" xfId="0" applyAlignment="1" applyBorder="1" applyFont="1">
      <alignment horizontal="center" shrinkToFit="0" wrapText="1"/>
    </xf>
    <xf borderId="72" fillId="3" fontId="4" numFmtId="0" xfId="0" applyAlignment="1" applyBorder="1" applyFont="1">
      <alignment vertical="bottom"/>
    </xf>
    <xf borderId="72" fillId="3" fontId="4" numFmtId="3" xfId="0" applyAlignment="1" applyBorder="1" applyFont="1" applyNumberFormat="1">
      <alignment vertical="bottom"/>
    </xf>
    <xf borderId="38" fillId="3" fontId="2" numFmtId="3" xfId="0" applyAlignment="1" applyBorder="1" applyFont="1" applyNumberFormat="1">
      <alignment horizontal="right"/>
    </xf>
    <xf borderId="73" fillId="3" fontId="4" numFmtId="0" xfId="0" applyAlignment="1" applyBorder="1" applyFont="1">
      <alignment vertical="bottom"/>
    </xf>
    <xf borderId="73" fillId="3" fontId="4" numFmtId="3" xfId="0" applyAlignment="1" applyBorder="1" applyFont="1" applyNumberFormat="1">
      <alignment vertical="bottom"/>
    </xf>
    <xf borderId="18" fillId="8" fontId="4" numFmtId="0" xfId="0" applyAlignment="1" applyBorder="1" applyFont="1">
      <alignment vertical="bottom"/>
    </xf>
    <xf borderId="73" fillId="3" fontId="4" numFmtId="3" xfId="0" applyAlignment="1" applyBorder="1" applyFont="1" applyNumberFormat="1">
      <alignment horizontal="right" vertical="bottom"/>
    </xf>
    <xf borderId="30" fillId="10" fontId="17" numFmtId="0" xfId="0" applyAlignment="1" applyBorder="1" applyFont="1">
      <alignment horizontal="center"/>
    </xf>
    <xf borderId="31" fillId="10" fontId="4" numFmtId="0" xfId="0" applyAlignment="1" applyBorder="1" applyFont="1">
      <alignment vertical="bottom"/>
    </xf>
    <xf borderId="74" fillId="3" fontId="4" numFmtId="3" xfId="0" applyAlignment="1" applyBorder="1" applyFont="1" applyNumberFormat="1">
      <alignment horizontal="right" vertical="bottom"/>
    </xf>
    <xf borderId="74" fillId="3" fontId="4" numFmtId="3" xfId="0" applyAlignment="1" applyBorder="1" applyFont="1" applyNumberFormat="1">
      <alignment vertical="bottom"/>
    </xf>
    <xf borderId="0" fillId="0" fontId="11" numFmtId="0" xfId="0" applyAlignment="1" applyFont="1">
      <alignment horizontal="center" shrinkToFit="0" vertical="bottom" wrapText="1"/>
    </xf>
    <xf borderId="18" fillId="8" fontId="26" numFmtId="0" xfId="0" applyAlignment="1" applyBorder="1" applyFont="1">
      <alignment horizontal="center" shrinkToFit="0" wrapText="1"/>
    </xf>
    <xf borderId="19" fillId="8" fontId="4" numFmtId="0" xfId="0" applyBorder="1" applyFont="1"/>
    <xf borderId="73" fillId="3" fontId="11" numFmtId="3" xfId="0" applyAlignment="1" applyBorder="1" applyFont="1" applyNumberFormat="1">
      <alignment horizontal="center" vertical="bottom"/>
    </xf>
    <xf borderId="30" fillId="21" fontId="17" numFmtId="0" xfId="0" applyAlignment="1" applyBorder="1" applyFont="1">
      <alignment horizontal="center"/>
    </xf>
    <xf borderId="31" fillId="21" fontId="4" numFmtId="0" xfId="0" applyAlignment="1" applyBorder="1" applyFont="1">
      <alignment vertical="bottom"/>
    </xf>
    <xf borderId="74" fillId="21" fontId="4" numFmtId="3" xfId="0" applyAlignment="1" applyBorder="1" applyFont="1" applyNumberFormat="1">
      <alignment horizontal="right" vertical="bottom"/>
    </xf>
    <xf borderId="74" fillId="21" fontId="4" numFmtId="3" xfId="0" applyAlignment="1" applyBorder="1" applyFont="1" applyNumberFormat="1">
      <alignment vertical="bottom"/>
    </xf>
    <xf borderId="75" fillId="21" fontId="4" numFmtId="3" xfId="0" applyAlignment="1" applyBorder="1" applyFont="1" applyNumberFormat="1">
      <alignment horizontal="right" vertical="bottom"/>
    </xf>
    <xf borderId="16" fillId="5" fontId="6" numFmtId="0" xfId="0" applyAlignment="1" applyBorder="1" applyFont="1">
      <alignment horizontal="center"/>
    </xf>
    <xf borderId="17" fillId="5" fontId="2" numFmtId="0" xfId="0" applyAlignment="1" applyBorder="1" applyFont="1">
      <alignment horizontal="center"/>
    </xf>
    <xf borderId="17" fillId="5" fontId="2" numFmtId="0" xfId="0" applyAlignment="1" applyBorder="1" applyFont="1">
      <alignment horizontal="center" shrinkToFit="0" wrapText="1"/>
    </xf>
    <xf borderId="17" fillId="5" fontId="6" numFmtId="0" xfId="0" applyAlignment="1" applyBorder="1" applyFont="1">
      <alignment horizontal="center"/>
    </xf>
    <xf borderId="17" fillId="5" fontId="7" numFmtId="0" xfId="0" applyAlignment="1" applyBorder="1" applyFont="1">
      <alignment horizontal="center"/>
    </xf>
    <xf borderId="49" fillId="0" fontId="2" numFmtId="0" xfId="0" applyAlignment="1" applyBorder="1" applyFont="1">
      <alignment horizontal="center" shrinkToFit="0" wrapText="1"/>
    </xf>
    <xf borderId="26" fillId="3" fontId="4" numFmtId="0" xfId="0" applyAlignment="1" applyBorder="1" applyFont="1">
      <alignment vertical="bottom"/>
    </xf>
    <xf borderId="26" fillId="3" fontId="4" numFmtId="3" xfId="0" applyAlignment="1" applyBorder="1" applyFont="1" applyNumberFormat="1">
      <alignment vertical="bottom"/>
    </xf>
    <xf borderId="48" fillId="3" fontId="4" numFmtId="3" xfId="0" applyAlignment="1" applyBorder="1" applyFont="1" applyNumberFormat="1">
      <alignment vertical="bottom"/>
    </xf>
    <xf borderId="45" fillId="3" fontId="4" numFmtId="0" xfId="0" applyAlignment="1" applyBorder="1" applyFont="1">
      <alignment vertical="bottom"/>
    </xf>
    <xf borderId="10" fillId="0" fontId="6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bottom" wrapText="1"/>
    </xf>
    <xf borderId="7" fillId="0" fontId="17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wrapText="1"/>
    </xf>
    <xf borderId="11" fillId="3" fontId="11" numFmtId="0" xfId="0" applyAlignment="1" applyBorder="1" applyFont="1">
      <alignment horizontal="center"/>
    </xf>
    <xf borderId="62" fillId="0" fontId="8" numFmtId="0" xfId="0" applyBorder="1" applyFont="1"/>
    <xf borderId="12" fillId="0" fontId="8" numFmtId="0" xfId="0" applyBorder="1" applyFont="1"/>
    <xf borderId="21" fillId="3" fontId="6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8" fillId="0" fontId="6" numFmtId="0" xfId="0" applyAlignment="1" applyBorder="1" applyFont="1">
      <alignment horizontal="center"/>
    </xf>
    <xf borderId="18" fillId="3" fontId="17" numFmtId="0" xfId="0" applyAlignment="1" applyBorder="1" applyFont="1">
      <alignment horizontal="center"/>
    </xf>
    <xf borderId="58" fillId="3" fontId="4" numFmtId="3" xfId="0" applyAlignment="1" applyBorder="1" applyFont="1" applyNumberFormat="1">
      <alignment horizontal="right" vertical="bottom"/>
    </xf>
    <xf borderId="58" fillId="3" fontId="4" numFmtId="3" xfId="0" applyAlignment="1" applyBorder="1" applyFont="1" applyNumberFormat="1">
      <alignment vertical="bottom"/>
    </xf>
    <xf borderId="76" fillId="3" fontId="2" numFmtId="3" xfId="0" applyAlignment="1" applyBorder="1" applyFont="1" applyNumberFormat="1">
      <alignment horizontal="right"/>
    </xf>
    <xf borderId="19" fillId="9" fontId="4" numFmtId="0" xfId="0" applyBorder="1" applyFont="1"/>
    <xf borderId="31" fillId="21" fontId="4" numFmtId="0" xfId="0" applyBorder="1" applyFont="1"/>
    <xf borderId="67" fillId="10" fontId="9" numFmtId="0" xfId="0" applyAlignment="1" applyBorder="1" applyFont="1">
      <alignment horizontal="center"/>
    </xf>
    <xf borderId="7" fillId="10" fontId="26" numFmtId="0" xfId="0" applyAlignment="1" applyBorder="1" applyFont="1">
      <alignment horizontal="center" shrinkToFit="0" vertical="bottom" wrapText="1"/>
    </xf>
    <xf borderId="7" fillId="10" fontId="7" numFmtId="0" xfId="0" applyAlignment="1" applyBorder="1" applyFont="1">
      <alignment horizontal="center"/>
    </xf>
    <xf borderId="8" fillId="10" fontId="4" numFmtId="0" xfId="0" applyBorder="1" applyFont="1"/>
    <xf borderId="72" fillId="3" fontId="4" numFmtId="3" xfId="0" applyAlignment="1" applyBorder="1" applyFont="1" applyNumberFormat="1">
      <alignment horizontal="right" vertical="bottom"/>
    </xf>
    <xf borderId="19" fillId="5" fontId="4" numFmtId="0" xfId="0" applyBorder="1" applyFont="1"/>
    <xf borderId="0" fillId="0" fontId="2" numFmtId="0" xfId="0" applyAlignment="1" applyFont="1">
      <alignment horizontal="center" vertical="bottom"/>
    </xf>
    <xf borderId="18" fillId="0" fontId="2" numFmtId="0" xfId="0" applyAlignment="1" applyBorder="1" applyFont="1">
      <alignment horizontal="center" shrinkToFit="0" vertical="bottom" wrapText="1"/>
    </xf>
    <xf borderId="18" fillId="3" fontId="7" numFmtId="0" xfId="0" applyAlignment="1" applyBorder="1" applyFont="1">
      <alignment horizontal="center"/>
    </xf>
    <xf borderId="19" fillId="0" fontId="4" numFmtId="0" xfId="0" applyBorder="1" applyFont="1"/>
    <xf borderId="30" fillId="24" fontId="4" numFmtId="0" xfId="0" applyAlignment="1" applyBorder="1" applyFont="1">
      <alignment vertical="bottom"/>
    </xf>
    <xf borderId="30" fillId="24" fontId="6" numFmtId="0" xfId="0" applyAlignment="1" applyBorder="1" applyFont="1">
      <alignment horizontal="center"/>
    </xf>
    <xf borderId="31" fillId="24" fontId="4" numFmtId="0" xfId="0" applyBorder="1" applyFont="1"/>
    <xf borderId="74" fillId="24" fontId="4" numFmtId="3" xfId="0" applyAlignment="1" applyBorder="1" applyFont="1" applyNumberFormat="1">
      <alignment horizontal="right" vertical="bottom"/>
    </xf>
    <xf borderId="74" fillId="24" fontId="4" numFmtId="3" xfId="0" applyAlignment="1" applyBorder="1" applyFont="1" applyNumberFormat="1">
      <alignment vertical="bottom"/>
    </xf>
    <xf borderId="7" fillId="5" fontId="9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 shrinkToFit="0" vertical="bottom" wrapText="1"/>
    </xf>
    <xf borderId="8" fillId="5" fontId="4" numFmtId="0" xfId="0" applyBorder="1" applyFont="1"/>
    <xf borderId="67" fillId="24" fontId="9" numFmtId="0" xfId="0" applyAlignment="1" applyBorder="1" applyFont="1">
      <alignment horizontal="center" vertical="bottom"/>
    </xf>
    <xf borderId="18" fillId="24" fontId="17" numFmtId="0" xfId="0" applyAlignment="1" applyBorder="1" applyFont="1">
      <alignment horizontal="center"/>
    </xf>
    <xf borderId="19" fillId="24" fontId="4" numFmtId="0" xfId="0" applyBorder="1" applyFont="1"/>
    <xf borderId="73" fillId="24" fontId="4" numFmtId="3" xfId="0" applyAlignment="1" applyBorder="1" applyFont="1" applyNumberFormat="1">
      <alignment horizontal="right" vertical="bottom"/>
    </xf>
    <xf borderId="73" fillId="24" fontId="4" numFmtId="3" xfId="0" applyAlignment="1" applyBorder="1" applyFont="1" applyNumberFormat="1">
      <alignment vertical="bottom"/>
    </xf>
    <xf borderId="67" fillId="9" fontId="9" numFmtId="0" xfId="0" applyAlignment="1" applyBorder="1" applyFont="1">
      <alignment horizontal="center" vertical="bottom"/>
    </xf>
    <xf borderId="53" fillId="0" fontId="2" numFmtId="0" xfId="0" applyAlignment="1" applyBorder="1" applyFont="1">
      <alignment horizontal="center" shrinkToFit="0" wrapText="1"/>
    </xf>
    <xf borderId="17" fillId="21" fontId="9" numFmtId="0" xfId="0" applyAlignment="1" applyBorder="1" applyFont="1">
      <alignment horizontal="center" vertical="bottom"/>
    </xf>
    <xf borderId="53" fillId="21" fontId="6" numFmtId="0" xfId="0" applyAlignment="1" applyBorder="1" applyFont="1">
      <alignment horizontal="center"/>
    </xf>
    <xf borderId="68" fillId="21" fontId="4" numFmtId="0" xfId="0" applyBorder="1" applyFont="1"/>
    <xf borderId="75" fillId="21" fontId="4" numFmtId="3" xfId="0" applyAlignment="1" applyBorder="1" applyFont="1" applyNumberFormat="1">
      <alignment vertical="bottom"/>
    </xf>
    <xf borderId="10" fillId="3" fontId="6" numFmtId="0" xfId="0" applyAlignment="1" applyBorder="1" applyFont="1">
      <alignment horizontal="center"/>
    </xf>
    <xf borderId="7" fillId="0" fontId="9" numFmtId="0" xfId="0" applyAlignment="1" applyBorder="1" applyFont="1">
      <alignment horizontal="center" vertical="bottom"/>
    </xf>
    <xf borderId="7" fillId="3" fontId="7" numFmtId="0" xfId="0" applyAlignment="1" applyBorder="1" applyFont="1">
      <alignment horizontal="center"/>
    </xf>
    <xf borderId="15" fillId="3" fontId="4" numFmtId="3" xfId="0" applyAlignment="1" applyBorder="1" applyFont="1" applyNumberFormat="1">
      <alignment horizontal="right" vertical="bottom"/>
    </xf>
    <xf borderId="15" fillId="3" fontId="4" numFmtId="3" xfId="0" applyAlignment="1" applyBorder="1" applyFont="1" applyNumberFormat="1">
      <alignment vertical="bottom"/>
    </xf>
    <xf borderId="37" fillId="24" fontId="9" numFmtId="0" xfId="0" applyAlignment="1" applyBorder="1" applyFont="1">
      <alignment horizontal="center" vertical="bottom"/>
    </xf>
    <xf borderId="10" fillId="11" fontId="6" numFmtId="0" xfId="0" applyAlignment="1" applyBorder="1" applyFont="1">
      <alignment horizontal="center" shrinkToFit="0" wrapText="1"/>
    </xf>
    <xf borderId="7" fillId="11" fontId="2" numFmtId="0" xfId="0" applyAlignment="1" applyBorder="1" applyFont="1">
      <alignment horizontal="center"/>
    </xf>
    <xf borderId="2" fillId="3" fontId="26" numFmtId="0" xfId="0" applyAlignment="1" applyBorder="1" applyFont="1">
      <alignment horizontal="center" shrinkToFit="0" wrapText="1"/>
    </xf>
    <xf borderId="7" fillId="11" fontId="6" numFmtId="0" xfId="0" applyAlignment="1" applyBorder="1" applyFont="1">
      <alignment horizontal="center"/>
    </xf>
    <xf borderId="7" fillId="11" fontId="17" numFmtId="0" xfId="0" applyAlignment="1" applyBorder="1" applyFont="1">
      <alignment horizontal="center"/>
    </xf>
    <xf borderId="8" fillId="11" fontId="4" numFmtId="0" xfId="0" applyAlignment="1" applyBorder="1" applyFont="1">
      <alignment vertical="bottom"/>
    </xf>
    <xf borderId="58" fillId="3" fontId="11" numFmtId="3" xfId="0" applyAlignment="1" applyBorder="1" applyFont="1" applyNumberFormat="1">
      <alignment horizontal="center" vertical="bottom"/>
    </xf>
    <xf borderId="67" fillId="3" fontId="2" numFmtId="0" xfId="0" applyAlignment="1" applyBorder="1" applyFont="1">
      <alignment horizontal="center" shrinkToFit="0" wrapText="1"/>
    </xf>
    <xf borderId="30" fillId="3" fontId="17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53" fillId="4" fontId="2" numFmtId="0" xfId="0" applyAlignment="1" applyBorder="1" applyFont="1">
      <alignment horizontal="center"/>
    </xf>
    <xf borderId="53" fillId="4" fontId="2" numFmtId="0" xfId="0" applyAlignment="1" applyBorder="1" applyFont="1">
      <alignment horizontal="center" shrinkToFit="0" wrapText="1"/>
    </xf>
    <xf borderId="53" fillId="0" fontId="11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wrapText="1"/>
    </xf>
    <xf borderId="21" fillId="19" fontId="6" numFmtId="0" xfId="0" applyAlignment="1" applyBorder="1" applyFont="1">
      <alignment horizontal="center" shrinkToFit="0" wrapText="1"/>
    </xf>
    <xf borderId="24" fillId="19" fontId="2" numFmtId="0" xfId="0" applyAlignment="1" applyBorder="1" applyFont="1">
      <alignment horizontal="center"/>
    </xf>
    <xf borderId="18" fillId="21" fontId="9" numFmtId="0" xfId="0" applyAlignment="1" applyBorder="1" applyFont="1">
      <alignment horizontal="center" vertical="bottom"/>
    </xf>
    <xf borderId="18" fillId="21" fontId="4" numFmtId="3" xfId="0" applyAlignment="1" applyBorder="1" applyFont="1" applyNumberFormat="1">
      <alignment horizontal="right"/>
    </xf>
    <xf borderId="37" fillId="24" fontId="9" numFmtId="0" xfId="0" applyAlignment="1" applyBorder="1" applyFont="1">
      <alignment horizontal="center" shrinkToFit="0" vertical="bottom" wrapText="1"/>
    </xf>
    <xf borderId="30" fillId="24" fontId="4" numFmtId="3" xfId="0" applyAlignment="1" applyBorder="1" applyFont="1" applyNumberFormat="1">
      <alignment horizontal="right"/>
    </xf>
    <xf borderId="53" fillId="24" fontId="4" numFmtId="3" xfId="0" applyAlignment="1" applyBorder="1" applyFont="1" applyNumberFormat="1">
      <alignment horizontal="right"/>
    </xf>
    <xf borderId="7" fillId="5" fontId="11" numFmtId="0" xfId="0" applyAlignment="1" applyBorder="1" applyFont="1">
      <alignment horizontal="center"/>
    </xf>
    <xf borderId="7" fillId="0" fontId="4" numFmtId="3" xfId="0" applyAlignment="1" applyBorder="1" applyFont="1" applyNumberFormat="1">
      <alignment horizontal="right"/>
    </xf>
    <xf borderId="24" fillId="6" fontId="2" numFmtId="0" xfId="0" applyAlignment="1" applyBorder="1" applyFont="1">
      <alignment horizontal="center"/>
    </xf>
    <xf borderId="18" fillId="6" fontId="7" numFmtId="0" xfId="0" applyAlignment="1" applyBorder="1" applyFont="1">
      <alignment horizontal="center"/>
    </xf>
    <xf borderId="18" fillId="0" fontId="4" numFmtId="3" xfId="0" applyBorder="1" applyFont="1" applyNumberFormat="1"/>
    <xf borderId="65" fillId="24" fontId="9" numFmtId="0" xfId="0" applyAlignment="1" applyBorder="1" applyFont="1">
      <alignment horizontal="center" shrinkToFit="0" vertical="bottom" wrapText="1"/>
    </xf>
    <xf borderId="10" fillId="25" fontId="6" numFmtId="0" xfId="0" applyAlignment="1" applyBorder="1" applyFill="1" applyFont="1">
      <alignment horizontal="center"/>
    </xf>
    <xf borderId="13" fillId="25" fontId="2" numFmtId="0" xfId="0" applyAlignment="1" applyBorder="1" applyFont="1">
      <alignment horizontal="center"/>
    </xf>
    <xf borderId="7" fillId="25" fontId="2" numFmtId="0" xfId="0" applyAlignment="1" applyBorder="1" applyFont="1">
      <alignment horizontal="center"/>
    </xf>
    <xf borderId="7" fillId="25" fontId="6" numFmtId="0" xfId="0" applyAlignment="1" applyBorder="1" applyFont="1">
      <alignment horizontal="center"/>
    </xf>
    <xf borderId="7" fillId="25" fontId="17" numFmtId="0" xfId="0" applyAlignment="1" applyBorder="1" applyFont="1">
      <alignment horizontal="center"/>
    </xf>
    <xf borderId="67" fillId="0" fontId="4" numFmtId="3" xfId="0" applyAlignment="1" applyBorder="1" applyFont="1" applyNumberFormat="1">
      <alignment horizontal="right"/>
    </xf>
    <xf borderId="34" fillId="0" fontId="2" numFmtId="0" xfId="0" applyAlignment="1" applyBorder="1" applyFont="1">
      <alignment horizontal="center"/>
    </xf>
    <xf borderId="30" fillId="0" fontId="17" numFmtId="0" xfId="0" applyAlignment="1" applyBorder="1" applyFont="1">
      <alignment horizontal="center"/>
    </xf>
    <xf borderId="30" fillId="0" fontId="4" numFmtId="3" xfId="0" applyAlignment="1" applyBorder="1" applyFont="1" applyNumberFormat="1">
      <alignment horizontal="right"/>
    </xf>
    <xf borderId="53" fillId="0" fontId="4" numFmtId="3" xfId="0" applyAlignment="1" applyBorder="1" applyFont="1" applyNumberFormat="1">
      <alignment horizontal="right"/>
    </xf>
    <xf borderId="2" fillId="0" fontId="2" numFmtId="0" xfId="0" applyAlignment="1" applyBorder="1" applyFont="1">
      <alignment horizontal="center"/>
    </xf>
    <xf borderId="7" fillId="6" fontId="7" numFmtId="0" xfId="0" applyAlignment="1" applyBorder="1" applyFont="1">
      <alignment horizontal="center"/>
    </xf>
    <xf borderId="7" fillId="0" fontId="4" numFmtId="3" xfId="0" applyBorder="1" applyFont="1" applyNumberFormat="1"/>
    <xf borderId="21" fillId="25" fontId="6" numFmtId="0" xfId="0" applyAlignment="1" applyBorder="1" applyFont="1">
      <alignment horizontal="center" shrinkToFit="0" wrapText="1"/>
    </xf>
    <xf borderId="24" fillId="25" fontId="2" numFmtId="0" xfId="0" applyAlignment="1" applyBorder="1" applyFont="1">
      <alignment horizontal="center"/>
    </xf>
    <xf borderId="18" fillId="25" fontId="4" numFmtId="0" xfId="0" applyBorder="1" applyFont="1"/>
    <xf borderId="18" fillId="25" fontId="6" numFmtId="0" xfId="0" applyAlignment="1" applyBorder="1" applyFont="1">
      <alignment horizontal="center"/>
    </xf>
    <xf borderId="18" fillId="25" fontId="7" numFmtId="0" xfId="0" applyAlignment="1" applyBorder="1" applyFont="1">
      <alignment horizontal="center"/>
    </xf>
    <xf borderId="18" fillId="0" fontId="4" numFmtId="3" xfId="0" applyAlignment="1" applyBorder="1" applyFont="1" applyNumberFormat="1">
      <alignment horizontal="right"/>
    </xf>
    <xf borderId="34" fillId="24" fontId="2" numFmtId="0" xfId="0" applyAlignment="1" applyBorder="1" applyFont="1">
      <alignment horizontal="center" readingOrder="0"/>
    </xf>
    <xf borderId="67" fillId="0" fontId="4" numFmtId="3" xfId="0" applyBorder="1" applyFont="1" applyNumberFormat="1"/>
    <xf borderId="30" fillId="21" fontId="9" numFmtId="0" xfId="0" applyAlignment="1" applyBorder="1" applyFont="1">
      <alignment horizontal="center" readingOrder="0" shrinkToFit="0" vertical="bottom" wrapText="1"/>
    </xf>
    <xf borderId="30" fillId="21" fontId="4" numFmtId="3" xfId="0" applyAlignment="1" applyBorder="1" applyFont="1" applyNumberFormat="1">
      <alignment horizontal="right"/>
    </xf>
    <xf borderId="53" fillId="21" fontId="4" numFmtId="3" xfId="0" applyAlignment="1" applyBorder="1" applyFont="1" applyNumberFormat="1">
      <alignment horizontal="right"/>
    </xf>
    <xf borderId="7" fillId="5" fontId="2" numFmtId="0" xfId="0" applyAlignment="1" applyBorder="1" applyFont="1">
      <alignment horizontal="center"/>
    </xf>
    <xf borderId="7" fillId="0" fontId="4" numFmtId="167" xfId="0" applyAlignment="1" applyBorder="1" applyFont="1" applyNumberFormat="1">
      <alignment horizontal="right" readingOrder="0"/>
    </xf>
    <xf borderId="21" fillId="0" fontId="6" numFmtId="0" xfId="0" applyAlignment="1" applyBorder="1" applyFont="1">
      <alignment horizontal="center" shrinkToFit="0" wrapText="1"/>
    </xf>
    <xf borderId="67" fillId="0" fontId="9" numFmtId="0" xfId="0" applyAlignment="1" applyBorder="1" applyFont="1">
      <alignment horizontal="center" vertical="bottom"/>
    </xf>
    <xf borderId="21" fillId="11" fontId="6" numFmtId="0" xfId="0" applyAlignment="1" applyBorder="1" applyFont="1">
      <alignment horizontal="center" shrinkToFit="0" wrapText="1"/>
    </xf>
    <xf borderId="67" fillId="11" fontId="9" numFmtId="0" xfId="0" applyAlignment="1" applyBorder="1" applyFont="1">
      <alignment horizontal="center" vertical="bottom"/>
    </xf>
    <xf borderId="18" fillId="11" fontId="4" numFmtId="0" xfId="0" applyBorder="1" applyFont="1"/>
    <xf borderId="18" fillId="11" fontId="6" numFmtId="0" xfId="0" applyAlignment="1" applyBorder="1" applyFont="1">
      <alignment horizontal="center"/>
    </xf>
    <xf borderId="18" fillId="11" fontId="7" numFmtId="0" xfId="0" applyAlignment="1" applyBorder="1" applyFont="1">
      <alignment horizontal="center"/>
    </xf>
    <xf borderId="21" fillId="12" fontId="6" numFmtId="0" xfId="0" applyAlignment="1" applyBorder="1" applyFont="1">
      <alignment horizontal="center" shrinkToFit="0" wrapText="1"/>
    </xf>
    <xf borderId="67" fillId="12" fontId="9" numFmtId="0" xfId="0" applyAlignment="1" applyBorder="1" applyFont="1">
      <alignment horizontal="center" vertical="bottom"/>
    </xf>
    <xf borderId="18" fillId="12" fontId="4" numFmtId="0" xfId="0" applyBorder="1" applyFont="1"/>
    <xf borderId="18" fillId="12" fontId="6" numFmtId="0" xfId="0" applyAlignment="1" applyBorder="1" applyFont="1">
      <alignment horizontal="center"/>
    </xf>
    <xf borderId="18" fillId="12" fontId="7" numFmtId="0" xfId="0" applyAlignment="1" applyBorder="1" applyFont="1">
      <alignment horizontal="center"/>
    </xf>
    <xf borderId="29" fillId="6" fontId="6" numFmtId="0" xfId="0" applyAlignment="1" applyBorder="1" applyFont="1">
      <alignment horizontal="center" shrinkToFit="0" wrapText="1"/>
    </xf>
    <xf borderId="37" fillId="6" fontId="9" numFmtId="0" xfId="0" applyAlignment="1" applyBorder="1" applyFont="1">
      <alignment horizontal="center" vertical="bottom"/>
    </xf>
    <xf borderId="30" fillId="6" fontId="7" numFmtId="0" xfId="0" applyAlignment="1" applyBorder="1" applyFont="1">
      <alignment horizontal="center"/>
    </xf>
    <xf borderId="30" fillId="0" fontId="4" numFmtId="3" xfId="0" applyBorder="1" applyFont="1" applyNumberFormat="1"/>
    <xf borderId="69" fillId="12" fontId="6" numFmtId="0" xfId="0" applyAlignment="1" applyBorder="1" applyFont="1">
      <alignment horizontal="center"/>
    </xf>
    <xf borderId="2" fillId="11" fontId="2" numFmtId="0" xfId="0" applyAlignment="1" applyBorder="1" applyFont="1">
      <alignment horizontal="center"/>
    </xf>
    <xf borderId="67" fillId="12" fontId="6" numFmtId="0" xfId="0" applyAlignment="1" applyBorder="1" applyFont="1">
      <alignment horizontal="center"/>
    </xf>
    <xf borderId="7" fillId="12" fontId="17" numFmtId="0" xfId="0" applyAlignment="1" applyBorder="1" applyFont="1">
      <alignment horizontal="center"/>
    </xf>
    <xf borderId="3" fillId="0" fontId="11" numFmtId="3" xfId="0" applyAlignment="1" applyBorder="1" applyFont="1" applyNumberFormat="1">
      <alignment horizontal="right"/>
    </xf>
    <xf borderId="21" fillId="11" fontId="6" numFmtId="0" xfId="0" applyAlignment="1" applyBorder="1" applyFont="1">
      <alignment horizontal="center"/>
    </xf>
    <xf borderId="18" fillId="11" fontId="9" numFmtId="0" xfId="0" applyAlignment="1" applyBorder="1" applyFont="1">
      <alignment horizontal="center" vertical="bottom"/>
    </xf>
    <xf borderId="18" fillId="11" fontId="17" numFmtId="0" xfId="0" applyAlignment="1" applyBorder="1" applyFont="1">
      <alignment horizontal="center"/>
    </xf>
    <xf borderId="29" fillId="9" fontId="6" numFmtId="0" xfId="0" applyAlignment="1" applyBorder="1" applyFont="1">
      <alignment horizontal="center"/>
    </xf>
    <xf borderId="37" fillId="9" fontId="9" numFmtId="0" xfId="0" applyAlignment="1" applyBorder="1" applyFont="1">
      <alignment horizontal="center" vertical="bottom"/>
    </xf>
    <xf borderId="30" fillId="9" fontId="17" numFmtId="0" xfId="0" applyAlignment="1" applyBorder="1" applyFont="1">
      <alignment horizontal="center"/>
    </xf>
    <xf borderId="6" fillId="4" fontId="2" numFmtId="0" xfId="0" applyAlignment="1" applyBorder="1" applyFont="1">
      <alignment horizontal="center" vertical="center"/>
    </xf>
    <xf borderId="43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9" fillId="0" fontId="19" numFmtId="164" xfId="0" applyAlignment="1" applyBorder="1" applyFont="1" applyNumberFormat="1">
      <alignment horizontal="center" readingOrder="0" vertical="center"/>
    </xf>
    <xf borderId="7" fillId="5" fontId="19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readingOrder="0" shrinkToFit="0" vertical="center" wrapText="1"/>
    </xf>
    <xf borderId="13" fillId="0" fontId="19" numFmtId="0" xfId="0" applyAlignment="1" applyBorder="1" applyFont="1">
      <alignment horizontal="center" vertical="center"/>
    </xf>
    <xf borderId="14" fillId="0" fontId="19" numFmtId="0" xfId="0" applyAlignment="1" applyBorder="1" applyFont="1">
      <alignment horizontal="center" vertical="center"/>
    </xf>
    <xf borderId="10" fillId="0" fontId="19" numFmtId="0" xfId="0" applyAlignment="1" applyBorder="1" applyFont="1">
      <alignment horizontal="center" vertical="center"/>
    </xf>
    <xf borderId="7" fillId="0" fontId="19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center" vertical="center"/>
    </xf>
    <xf borderId="38" fillId="0" fontId="19" numFmtId="0" xfId="0" applyAlignment="1" applyBorder="1" applyFont="1">
      <alignment horizontal="center" vertical="center"/>
    </xf>
    <xf borderId="21" fillId="7" fontId="19" numFmtId="0" xfId="0" applyAlignment="1" applyBorder="1" applyFont="1">
      <alignment horizontal="center" readingOrder="0"/>
    </xf>
    <xf borderId="18" fillId="7" fontId="20" numFmtId="0" xfId="0" applyAlignment="1" applyBorder="1" applyFont="1">
      <alignment horizontal="center" readingOrder="0" vertical="center"/>
    </xf>
    <xf borderId="53" fillId="0" fontId="20" numFmtId="0" xfId="0" applyAlignment="1" applyBorder="1" applyFont="1">
      <alignment horizontal="center" readingOrder="0" vertical="center"/>
    </xf>
    <xf borderId="18" fillId="7" fontId="19" numFmtId="0" xfId="0" applyAlignment="1" applyBorder="1" applyFont="1">
      <alignment horizontal="center" readingOrder="0" vertical="center"/>
    </xf>
    <xf borderId="18" fillId="7" fontId="19" numFmtId="0" xfId="0" applyAlignment="1" applyBorder="1" applyFont="1">
      <alignment horizontal="center" vertical="center"/>
    </xf>
    <xf borderId="24" fillId="0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vertical="center"/>
    </xf>
    <xf borderId="21" fillId="0" fontId="19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19" fillId="0" fontId="19" numFmtId="0" xfId="0" applyAlignment="1" applyBorder="1" applyFont="1">
      <alignment horizontal="center" vertical="center"/>
    </xf>
    <xf borderId="18" fillId="6" fontId="19" numFmtId="0" xfId="0" applyAlignment="1" applyBorder="1" applyFont="1">
      <alignment horizontal="center" readingOrder="0" vertical="center"/>
    </xf>
    <xf borderId="18" fillId="6" fontId="19" numFmtId="0" xfId="0" applyAlignment="1" applyBorder="1" applyFont="1">
      <alignment horizontal="center" vertical="center"/>
    </xf>
    <xf borderId="29" fillId="25" fontId="19" numFmtId="0" xfId="0" applyAlignment="1" applyBorder="1" applyFont="1">
      <alignment horizontal="center" readingOrder="0"/>
    </xf>
    <xf borderId="30" fillId="25" fontId="20" numFmtId="0" xfId="0" applyAlignment="1" applyBorder="1" applyFont="1">
      <alignment horizontal="center" readingOrder="0" vertical="center"/>
    </xf>
    <xf borderId="30" fillId="25" fontId="20" numFmtId="0" xfId="0" applyAlignment="1" applyBorder="1" applyFont="1">
      <alignment horizontal="center" vertical="center"/>
    </xf>
    <xf borderId="30" fillId="25" fontId="19" numFmtId="0" xfId="0" applyAlignment="1" applyBorder="1" applyFont="1">
      <alignment horizontal="center" readingOrder="0" vertical="center"/>
    </xf>
    <xf borderId="30" fillId="25" fontId="19" numFmtId="0" xfId="0" applyAlignment="1" applyBorder="1" applyFont="1">
      <alignment horizontal="center" vertical="center"/>
    </xf>
    <xf borderId="34" fillId="0" fontId="19" numFmtId="0" xfId="0" applyAlignment="1" applyBorder="1" applyFont="1">
      <alignment horizontal="center" vertical="center"/>
    </xf>
    <xf borderId="35" fillId="0" fontId="19" numFmtId="0" xfId="0" applyAlignment="1" applyBorder="1" applyFont="1">
      <alignment horizontal="center" vertical="center"/>
    </xf>
    <xf borderId="29" fillId="0" fontId="19" numFmtId="0" xfId="0" applyAlignment="1" applyBorder="1" applyFont="1">
      <alignment horizontal="center" readingOrder="0" vertical="center"/>
    </xf>
    <xf borderId="30" fillId="0" fontId="19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47" fillId="0" fontId="19" numFmtId="164" xfId="0" applyAlignment="1" applyBorder="1" applyFont="1" applyNumberFormat="1">
      <alignment horizontal="center" readingOrder="0" vertical="center"/>
    </xf>
    <xf borderId="55" fillId="0" fontId="20" numFmtId="0" xfId="0" applyAlignment="1" applyBorder="1" applyFont="1">
      <alignment horizontal="center" readingOrder="0" vertical="center"/>
    </xf>
    <xf borderId="10" fillId="5" fontId="19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66" fillId="0" fontId="19" numFmtId="0" xfId="0" applyAlignment="1" applyBorder="1" applyFont="1">
      <alignment horizontal="center" vertical="center"/>
    </xf>
    <xf borderId="77" fillId="0" fontId="19" numFmtId="0" xfId="0" applyAlignment="1" applyBorder="1" applyFont="1">
      <alignment horizontal="center" vertical="center"/>
    </xf>
    <xf borderId="72" fillId="0" fontId="19" numFmtId="0" xfId="0" applyAlignment="1" applyBorder="1" applyFont="1">
      <alignment horizontal="center" vertical="center"/>
    </xf>
    <xf borderId="29" fillId="7" fontId="19" numFmtId="0" xfId="0" applyAlignment="1" applyBorder="1" applyFont="1">
      <alignment horizontal="center" readingOrder="0" vertical="center"/>
    </xf>
    <xf borderId="30" fillId="7" fontId="20" numFmtId="0" xfId="0" applyAlignment="1" applyBorder="1" applyFont="1">
      <alignment horizontal="center" readingOrder="0" vertical="center"/>
    </xf>
    <xf borderId="30" fillId="7" fontId="19" numFmtId="0" xfId="0" applyAlignment="1" applyBorder="1" applyFont="1">
      <alignment horizontal="center" readingOrder="0" vertical="center"/>
    </xf>
    <xf borderId="30" fillId="7" fontId="19" numFmtId="0" xfId="0" applyAlignment="1" applyBorder="1" applyFont="1">
      <alignment horizontal="center" vertical="center"/>
    </xf>
    <xf borderId="56" fillId="0" fontId="19" numFmtId="0" xfId="0" applyAlignment="1" applyBorder="1" applyFont="1">
      <alignment horizontal="center" vertical="center"/>
    </xf>
    <xf borderId="57" fillId="0" fontId="19" numFmtId="0" xfId="0" applyAlignment="1" applyBorder="1" applyFont="1">
      <alignment horizontal="center" vertical="center"/>
    </xf>
    <xf borderId="29" fillId="0" fontId="19" numFmtId="0" xfId="0" applyAlignment="1" applyBorder="1" applyFont="1">
      <alignment horizontal="center" vertical="center"/>
    </xf>
    <xf borderId="74" fillId="0" fontId="19" numFmtId="0" xfId="0" applyAlignment="1" applyBorder="1" applyFont="1">
      <alignment horizontal="center" vertical="center"/>
    </xf>
    <xf borderId="47" fillId="0" fontId="19" numFmtId="169" xfId="0" applyAlignment="1" applyBorder="1" applyFont="1" applyNumberFormat="1">
      <alignment horizontal="center" readingOrder="0" vertical="center"/>
    </xf>
    <xf borderId="55" fillId="3" fontId="6" numFmtId="0" xfId="0" applyAlignment="1" applyBorder="1" applyFont="1">
      <alignment horizontal="center" shrinkToFit="0" vertical="center" wrapText="1"/>
    </xf>
    <xf borderId="44" fillId="3" fontId="6" numFmtId="0" xfId="0" applyAlignment="1" applyBorder="1" applyFont="1">
      <alignment horizontal="center" shrinkToFit="0" vertical="center" wrapText="1"/>
    </xf>
    <xf borderId="70" fillId="0" fontId="8" numFmtId="0" xfId="0" applyBorder="1" applyFont="1"/>
    <xf borderId="45" fillId="0" fontId="8" numFmtId="0" xfId="0" applyBorder="1" applyFont="1"/>
    <xf borderId="69" fillId="7" fontId="6" numFmtId="0" xfId="0" applyAlignment="1" applyBorder="1" applyFont="1">
      <alignment horizontal="center" shrinkToFit="0" vertical="center" wrapText="1"/>
    </xf>
    <xf borderId="67" fillId="7" fontId="20" numFmtId="0" xfId="0" applyAlignment="1" applyBorder="1" applyFont="1">
      <alignment horizontal="center" readingOrder="0"/>
    </xf>
    <xf borderId="67" fillId="7" fontId="20" numFmtId="0" xfId="0" applyAlignment="1" applyBorder="1" applyFont="1">
      <alignment horizontal="center" readingOrder="0" vertical="center"/>
    </xf>
    <xf borderId="67" fillId="7" fontId="6" numFmtId="0" xfId="0" applyAlignment="1" applyBorder="1" applyFont="1">
      <alignment horizontal="center" vertical="center"/>
    </xf>
    <xf borderId="67" fillId="7" fontId="17" numFmtId="0" xfId="0" applyAlignment="1" applyBorder="1" applyFont="1">
      <alignment horizontal="center" vertical="center"/>
    </xf>
    <xf borderId="49" fillId="3" fontId="18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69" fillId="0" fontId="19" numFmtId="0" xfId="0" applyAlignment="1" applyBorder="1" applyFont="1">
      <alignment horizontal="center" vertical="center"/>
    </xf>
    <xf borderId="67" fillId="0" fontId="19" numFmtId="0" xfId="0" applyAlignment="1" applyBorder="1" applyFont="1">
      <alignment horizontal="center" vertical="center"/>
    </xf>
    <xf borderId="54" fillId="0" fontId="19" numFmtId="0" xfId="0" applyAlignment="1" applyBorder="1" applyFont="1">
      <alignment horizontal="center" vertical="center"/>
    </xf>
    <xf borderId="58" fillId="0" fontId="19" numFmtId="0" xfId="0" applyAlignment="1" applyBorder="1" applyFont="1">
      <alignment horizontal="center" vertical="center"/>
    </xf>
    <xf borderId="18" fillId="5" fontId="20" numFmtId="0" xfId="0" applyAlignment="1" applyBorder="1" applyFont="1">
      <alignment horizontal="center" readingOrder="0" vertical="center"/>
    </xf>
    <xf borderId="73" fillId="0" fontId="19" numFmtId="0" xfId="0" applyAlignment="1" applyBorder="1" applyFont="1">
      <alignment horizontal="center" vertical="center"/>
    </xf>
    <xf borderId="18" fillId="12" fontId="5" numFmtId="0" xfId="0" applyBorder="1" applyFont="1"/>
    <xf borderId="18" fillId="12" fontId="17" numFmtId="0" xfId="0" applyAlignment="1" applyBorder="1" applyFont="1">
      <alignment horizontal="center" vertical="center"/>
    </xf>
    <xf borderId="29" fillId="26" fontId="6" numFmtId="0" xfId="0" applyAlignment="1" applyBorder="1" applyFill="1" applyFont="1">
      <alignment horizontal="center" readingOrder="0" shrinkToFit="0" vertical="center" wrapText="1"/>
    </xf>
    <xf borderId="30" fillId="26" fontId="20" numFmtId="0" xfId="0" applyAlignment="1" applyBorder="1" applyFont="1">
      <alignment horizontal="center" readingOrder="0"/>
    </xf>
    <xf borderId="30" fillId="26" fontId="5" numFmtId="0" xfId="0" applyBorder="1" applyFont="1"/>
    <xf borderId="30" fillId="26" fontId="6" numFmtId="0" xfId="0" applyAlignment="1" applyBorder="1" applyFont="1">
      <alignment horizontal="center" readingOrder="0" vertical="center"/>
    </xf>
    <xf borderId="30" fillId="26" fontId="17" numFmtId="0" xfId="0" applyAlignment="1" applyBorder="1" applyFont="1">
      <alignment horizontal="center" vertical="center"/>
    </xf>
    <xf borderId="10" fillId="7" fontId="6" numFmtId="0" xfId="0" applyAlignment="1" applyBorder="1" applyFont="1">
      <alignment horizontal="center" shrinkToFit="0" vertical="center" wrapText="1"/>
    </xf>
    <xf borderId="7" fillId="7" fontId="20" numFmtId="0" xfId="0" applyAlignment="1" applyBorder="1" applyFont="1">
      <alignment horizontal="center" readingOrder="0" vertical="center"/>
    </xf>
    <xf borderId="2" fillId="7" fontId="20" numFmtId="0" xfId="0" applyAlignment="1" applyBorder="1" applyFont="1">
      <alignment horizontal="center" readingOrder="0" shrinkToFit="0" vertical="center" wrapText="1"/>
    </xf>
    <xf borderId="7" fillId="7" fontId="6" numFmtId="0" xfId="0" applyAlignment="1" applyBorder="1" applyFont="1">
      <alignment horizontal="center" vertical="center"/>
    </xf>
    <xf borderId="7" fillId="7" fontId="17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readingOrder="0" shrinkToFit="0" vertical="center" wrapText="1"/>
    </xf>
    <xf borderId="18" fillId="0" fontId="20" numFmtId="0" xfId="0" applyAlignment="1" applyBorder="1" applyFont="1">
      <alignment horizontal="center" readingOrder="0"/>
    </xf>
    <xf borderId="67" fillId="3" fontId="20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readingOrder="0" vertical="center"/>
    </xf>
    <xf borderId="18" fillId="0" fontId="17" numFmtId="0" xfId="0" applyAlignment="1" applyBorder="1" applyFont="1">
      <alignment horizontal="center" vertical="center"/>
    </xf>
    <xf borderId="18" fillId="12" fontId="16" numFmtId="0" xfId="0" applyAlignment="1" applyBorder="1" applyFont="1">
      <alignment horizontal="center" readingOrder="0"/>
    </xf>
    <xf borderId="18" fillId="12" fontId="6" numFmtId="0" xfId="0" applyAlignment="1" applyBorder="1" applyFont="1">
      <alignment horizontal="center" vertical="center"/>
    </xf>
    <xf borderId="10" fillId="7" fontId="19" numFmtId="0" xfId="0" applyAlignment="1" applyBorder="1" applyFont="1">
      <alignment horizontal="center" readingOrder="0"/>
    </xf>
    <xf borderId="7" fillId="7" fontId="19" numFmtId="0" xfId="0" applyAlignment="1" applyBorder="1" applyFont="1">
      <alignment horizontal="center" readingOrder="0" vertical="center"/>
    </xf>
    <xf borderId="12" fillId="0" fontId="19" numFmtId="0" xfId="0" applyAlignment="1" applyBorder="1" applyFont="1">
      <alignment horizontal="center" vertical="center"/>
    </xf>
    <xf borderId="21" fillId="3" fontId="19" numFmtId="0" xfId="0" applyAlignment="1" applyBorder="1" applyFont="1">
      <alignment horizontal="center" readingOrder="0"/>
    </xf>
    <xf borderId="18" fillId="3" fontId="20" numFmtId="0" xfId="0" applyAlignment="1" applyBorder="1" applyFont="1">
      <alignment horizontal="center" readingOrder="0" vertical="center"/>
    </xf>
    <xf borderId="53" fillId="3" fontId="20" numFmtId="0" xfId="0" applyAlignment="1" applyBorder="1" applyFont="1">
      <alignment horizontal="center" readingOrder="0" shrinkToFit="0" vertical="center" wrapText="1"/>
    </xf>
    <xf borderId="18" fillId="3" fontId="19" numFmtId="0" xfId="0" applyAlignment="1" applyBorder="1" applyFont="1">
      <alignment horizontal="center" readingOrder="0" vertical="center"/>
    </xf>
    <xf borderId="18" fillId="3" fontId="17" numFmtId="0" xfId="0" applyAlignment="1" applyBorder="1" applyFont="1">
      <alignment horizontal="center" vertical="center"/>
    </xf>
    <xf borderId="23" fillId="0" fontId="19" numFmtId="0" xfId="0" applyAlignment="1" applyBorder="1" applyFont="1">
      <alignment horizontal="center" vertical="center"/>
    </xf>
    <xf borderId="21" fillId="5" fontId="19" numFmtId="0" xfId="0" applyAlignment="1" applyBorder="1" applyFont="1">
      <alignment horizontal="center" readingOrder="0"/>
    </xf>
    <xf borderId="18" fillId="5" fontId="19" numFmtId="0" xfId="0" applyAlignment="1" applyBorder="1" applyFont="1">
      <alignment horizontal="center" readingOrder="0" vertical="center"/>
    </xf>
    <xf borderId="33" fillId="0" fontId="19" numFmtId="0" xfId="0" applyAlignment="1" applyBorder="1" applyFont="1">
      <alignment horizontal="center" vertical="center"/>
    </xf>
    <xf borderId="17" fillId="3" fontId="20" numFmtId="0" xfId="0" applyAlignment="1" applyBorder="1" applyFont="1">
      <alignment horizontal="center" readingOrder="0" vertical="center"/>
    </xf>
    <xf borderId="29" fillId="6" fontId="6" numFmtId="0" xfId="0" applyAlignment="1" applyBorder="1" applyFont="1">
      <alignment horizontal="center" readingOrder="0" shrinkToFit="0" vertical="center" wrapText="1"/>
    </xf>
    <xf borderId="30" fillId="6" fontId="20" numFmtId="0" xfId="0" applyAlignment="1" applyBorder="1" applyFont="1">
      <alignment horizontal="center" readingOrder="0"/>
    </xf>
    <xf borderId="30" fillId="6" fontId="5" numFmtId="0" xfId="0" applyBorder="1" applyFont="1"/>
    <xf borderId="30" fillId="6" fontId="17" numFmtId="0" xfId="0" applyAlignment="1" applyBorder="1" applyFont="1">
      <alignment horizontal="center" vertical="center"/>
    </xf>
    <xf borderId="10" fillId="14" fontId="19" numFmtId="0" xfId="0" applyAlignment="1" applyBorder="1" applyFont="1">
      <alignment horizontal="center" readingOrder="0" vertical="center"/>
    </xf>
    <xf borderId="7" fillId="14" fontId="20" numFmtId="0" xfId="0" applyAlignment="1" applyBorder="1" applyFont="1">
      <alignment horizontal="center" readingOrder="0" vertical="center"/>
    </xf>
    <xf borderId="2" fillId="3" fontId="20" numFmtId="0" xfId="0" applyAlignment="1" applyBorder="1" applyFont="1">
      <alignment horizontal="center" readingOrder="0" shrinkToFit="0" vertical="center" wrapText="1"/>
    </xf>
    <xf borderId="7" fillId="27" fontId="19" numFmtId="0" xfId="0" applyAlignment="1" applyBorder="1" applyFill="1" applyFont="1">
      <alignment horizontal="center" readingOrder="0" vertical="center"/>
    </xf>
    <xf borderId="7" fillId="27" fontId="17" numFmtId="0" xfId="0" applyAlignment="1" applyBorder="1" applyFont="1">
      <alignment horizontal="center" vertical="center"/>
    </xf>
    <xf borderId="29" fillId="6" fontId="19" numFmtId="0" xfId="0" applyAlignment="1" applyBorder="1" applyFont="1">
      <alignment horizontal="center" readingOrder="0" vertical="center"/>
    </xf>
    <xf borderId="30" fillId="6" fontId="20" numFmtId="0" xfId="0" applyAlignment="1" applyBorder="1" applyFont="1">
      <alignment horizontal="center" readingOrder="0" vertical="center"/>
    </xf>
    <xf borderId="30" fillId="6" fontId="19" numFmtId="0" xfId="0" applyAlignment="1" applyBorder="1" applyFont="1">
      <alignment horizontal="center" readingOrder="0" vertical="center"/>
    </xf>
    <xf borderId="10" fillId="7" fontId="6" numFmtId="0" xfId="0" applyAlignment="1" applyBorder="1" applyFont="1">
      <alignment horizontal="center" readingOrder="0" shrinkToFit="0" vertical="center" wrapText="1"/>
    </xf>
    <xf borderId="7" fillId="7" fontId="20" numFmtId="0" xfId="0" applyAlignment="1" applyBorder="1" applyFont="1">
      <alignment horizontal="center" readingOrder="0"/>
    </xf>
    <xf borderId="14" fillId="7" fontId="17" numFmtId="0" xfId="0" applyAlignment="1" applyBorder="1" applyFont="1">
      <alignment horizontal="center" vertical="center"/>
    </xf>
    <xf borderId="35" fillId="8" fontId="17" numFmtId="0" xfId="0" applyAlignment="1" applyBorder="1" applyFont="1">
      <alignment horizontal="center" vertical="center"/>
    </xf>
    <xf borderId="69" fillId="15" fontId="6" numFmtId="0" xfId="0" applyAlignment="1" applyBorder="1" applyFont="1">
      <alignment horizontal="center" shrinkToFit="0" vertical="center" wrapText="1"/>
    </xf>
    <xf borderId="67" fillId="15" fontId="20" numFmtId="0" xfId="0" applyAlignment="1" applyBorder="1" applyFont="1">
      <alignment horizontal="center" readingOrder="0"/>
    </xf>
    <xf borderId="67" fillId="15" fontId="20" numFmtId="0" xfId="0" applyAlignment="1" applyBorder="1" applyFont="1">
      <alignment horizontal="center" readingOrder="0" vertical="center"/>
    </xf>
    <xf borderId="67" fillId="15" fontId="6" numFmtId="0" xfId="0" applyAlignment="1" applyBorder="1" applyFont="1">
      <alignment horizontal="center" vertical="center"/>
    </xf>
    <xf borderId="67" fillId="15" fontId="17" numFmtId="0" xfId="0" applyAlignment="1" applyBorder="1" applyFont="1">
      <alignment horizontal="center" vertical="center"/>
    </xf>
    <xf borderId="18" fillId="25" fontId="20" numFmtId="0" xfId="0" applyAlignment="1" applyBorder="1" applyFont="1">
      <alignment horizontal="center" readingOrder="0"/>
    </xf>
    <xf borderId="18" fillId="25" fontId="20" numFmtId="0" xfId="0" applyAlignment="1" applyBorder="1" applyFont="1">
      <alignment horizontal="center" readingOrder="0" vertical="center"/>
    </xf>
    <xf borderId="18" fillId="25" fontId="6" numFmtId="0" xfId="0" applyAlignment="1" applyBorder="1" applyFont="1">
      <alignment horizontal="center" readingOrder="0" vertical="center"/>
    </xf>
    <xf borderId="21" fillId="15" fontId="6" numFmtId="0" xfId="0" applyAlignment="1" applyBorder="1" applyFont="1">
      <alignment horizontal="center" readingOrder="0" shrinkToFit="0" vertical="center" wrapText="1"/>
    </xf>
    <xf borderId="18" fillId="15" fontId="20" numFmtId="0" xfId="0" applyAlignment="1" applyBorder="1" applyFont="1">
      <alignment horizontal="center" readingOrder="0"/>
    </xf>
    <xf borderId="18" fillId="15" fontId="20" numFmtId="0" xfId="0" applyAlignment="1" applyBorder="1" applyFont="1">
      <alignment horizontal="center" readingOrder="0" vertical="center"/>
    </xf>
    <xf borderId="18" fillId="15" fontId="6" numFmtId="0" xfId="0" applyAlignment="1" applyBorder="1" applyFont="1">
      <alignment horizontal="center" readingOrder="0" vertical="center"/>
    </xf>
    <xf borderId="18" fillId="15" fontId="17" numFmtId="0" xfId="0" applyAlignment="1" applyBorder="1" applyFont="1">
      <alignment horizontal="center" vertical="center"/>
    </xf>
    <xf borderId="18" fillId="6" fontId="6" numFmtId="0" xfId="0" applyAlignment="1" applyBorder="1" applyFont="1">
      <alignment horizontal="center" vertical="center"/>
    </xf>
    <xf borderId="46" fillId="4" fontId="2" numFmtId="0" xfId="0" applyAlignment="1" applyBorder="1" applyFont="1">
      <alignment horizontal="center" vertical="center"/>
    </xf>
    <xf borderId="3" fillId="0" fontId="19" numFmtId="164" xfId="0" applyAlignment="1" applyBorder="1" applyFont="1" applyNumberFormat="1">
      <alignment horizontal="center" readingOrder="0" vertical="center"/>
    </xf>
    <xf borderId="49" fillId="3" fontId="2" numFmtId="0" xfId="0" applyAlignment="1" applyBorder="1" applyFont="1">
      <alignment horizontal="center" readingOrder="0" vertical="center"/>
    </xf>
    <xf borderId="18" fillId="7" fontId="19" numFmtId="0" xfId="0" applyBorder="1" applyFont="1"/>
    <xf borderId="18" fillId="7" fontId="19" numFmtId="0" xfId="0" applyAlignment="1" applyBorder="1" applyFont="1">
      <alignment horizontal="center" readingOrder="0"/>
    </xf>
    <xf borderId="18" fillId="8" fontId="19" numFmtId="0" xfId="0" applyBorder="1" applyFont="1"/>
    <xf borderId="18" fillId="8" fontId="19" numFmtId="0" xfId="0" applyAlignment="1" applyBorder="1" applyFont="1">
      <alignment horizontal="center" readingOrder="0"/>
    </xf>
    <xf borderId="30" fillId="0" fontId="20" numFmtId="0" xfId="0" applyAlignment="1" applyBorder="1" applyFont="1">
      <alignment horizontal="center" readingOrder="0"/>
    </xf>
    <xf borderId="30" fillId="0" fontId="19" numFmtId="0" xfId="0" applyBorder="1" applyFont="1"/>
    <xf borderId="30" fillId="0" fontId="19" numFmtId="0" xfId="0" applyAlignment="1" applyBorder="1" applyFont="1">
      <alignment horizontal="center" readingOrder="0"/>
    </xf>
    <xf borderId="30" fillId="6" fontId="19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7" fillId="5" fontId="20" numFmtId="0" xfId="0" applyAlignment="1" applyBorder="1" applyFont="1">
      <alignment horizontal="center"/>
    </xf>
    <xf borderId="3" fillId="3" fontId="2" numFmtId="0" xfId="0" applyAlignment="1" applyBorder="1" applyFont="1">
      <alignment horizontal="center" readingOrder="0" vertical="center"/>
    </xf>
    <xf borderId="18" fillId="9" fontId="20" numFmtId="0" xfId="0" applyAlignment="1" applyBorder="1" applyFont="1">
      <alignment horizontal="center"/>
    </xf>
    <xf borderId="18" fillId="9" fontId="19" numFmtId="0" xfId="0" applyAlignment="1" applyBorder="1" applyFont="1">
      <alignment horizontal="center" readingOrder="0"/>
    </xf>
    <xf borderId="18" fillId="7" fontId="20" numFmtId="0" xfId="0" applyAlignment="1" applyBorder="1" applyFont="1">
      <alignment horizontal="center"/>
    </xf>
    <xf borderId="29" fillId="15" fontId="6" numFmtId="0" xfId="0" applyAlignment="1" applyBorder="1" applyFont="1">
      <alignment horizontal="center" readingOrder="0" shrinkToFit="0" vertical="center" wrapText="1"/>
    </xf>
    <xf borderId="30" fillId="15" fontId="20" numFmtId="0" xfId="0" applyAlignment="1" applyBorder="1" applyFont="1">
      <alignment horizontal="center" readingOrder="0"/>
    </xf>
    <xf borderId="30" fillId="15" fontId="20" numFmtId="0" xfId="0" applyAlignment="1" applyBorder="1" applyFont="1">
      <alignment horizontal="center"/>
    </xf>
    <xf borderId="30" fillId="15" fontId="19" numFmtId="0" xfId="0" applyAlignment="1" applyBorder="1" applyFont="1">
      <alignment horizontal="center" readingOrder="0"/>
    </xf>
    <xf borderId="30" fillId="15" fontId="17" numFmtId="0" xfId="0" applyAlignment="1" applyBorder="1" applyFont="1">
      <alignment horizontal="center" vertical="center"/>
    </xf>
    <xf borderId="7" fillId="5" fontId="29" numFmtId="0" xfId="0" applyAlignment="1" applyBorder="1" applyFont="1">
      <alignment horizontal="center" readingOrder="0" vertical="center"/>
    </xf>
    <xf borderId="18" fillId="7" fontId="29" numFmtId="0" xfId="0" applyAlignment="1" applyBorder="1" applyFont="1">
      <alignment horizontal="center" readingOrder="0" vertical="center"/>
    </xf>
    <xf borderId="18" fillId="9" fontId="29" numFmtId="0" xfId="0" applyAlignment="1" applyBorder="1" applyFont="1">
      <alignment horizontal="center" readingOrder="0" vertical="center"/>
    </xf>
    <xf borderId="0" fillId="3" fontId="5" numFmtId="0" xfId="0" applyFont="1"/>
    <xf borderId="30" fillId="8" fontId="20" numFmtId="0" xfId="0" applyAlignment="1" applyBorder="1" applyFont="1">
      <alignment horizontal="center"/>
    </xf>
    <xf borderId="30" fillId="8" fontId="29" numFmtId="0" xfId="0" applyAlignment="1" applyBorder="1" applyFont="1">
      <alignment horizontal="center" readingOrder="0" vertical="center"/>
    </xf>
    <xf borderId="13" fillId="5" fontId="6" numFmtId="0" xfId="0" applyAlignment="1" applyBorder="1" applyFont="1">
      <alignment horizontal="center" shrinkToFit="0" vertical="center" wrapText="1"/>
    </xf>
    <xf borderId="7" fillId="5" fontId="5" numFmtId="0" xfId="0" applyBorder="1" applyFont="1"/>
    <xf borderId="24" fillId="6" fontId="6" numFmtId="0" xfId="0" applyAlignment="1" applyBorder="1" applyFont="1">
      <alignment horizontal="center" readingOrder="0" shrinkToFit="0" vertical="center" wrapText="1"/>
    </xf>
    <xf borderId="18" fillId="6" fontId="5" numFmtId="0" xfId="0" applyBorder="1" applyFont="1"/>
    <xf borderId="24" fillId="7" fontId="6" numFmtId="0" xfId="0" applyAlignment="1" applyBorder="1" applyFont="1">
      <alignment horizontal="center" readingOrder="0" shrinkToFit="0" vertical="center" wrapText="1"/>
    </xf>
    <xf borderId="34" fillId="15" fontId="6" numFmtId="0" xfId="0" applyAlignment="1" applyBorder="1" applyFont="1">
      <alignment horizontal="center" readingOrder="0" shrinkToFit="0" vertical="center" wrapText="1"/>
    </xf>
    <xf borderId="30" fillId="15" fontId="20" numFmtId="0" xfId="0" applyAlignment="1" applyBorder="1" applyFont="1">
      <alignment horizontal="center" readingOrder="0" vertical="center"/>
    </xf>
    <xf borderId="30" fillId="15" fontId="5" numFmtId="0" xfId="0" applyBorder="1" applyFont="1"/>
    <xf borderId="67" fillId="9" fontId="20" numFmtId="0" xfId="0" applyAlignment="1" applyBorder="1" applyFont="1">
      <alignment horizontal="center" readingOrder="0" vertical="center"/>
    </xf>
    <xf borderId="67" fillId="9" fontId="5" numFmtId="0" xfId="0" applyBorder="1" applyFont="1"/>
    <xf borderId="67" fillId="9" fontId="19" numFmtId="0" xfId="0" applyAlignment="1" applyBorder="1" applyFont="1">
      <alignment horizontal="center" readingOrder="0"/>
    </xf>
    <xf borderId="21" fillId="3" fontId="6" numFmtId="0" xfId="0" applyAlignment="1" applyBorder="1" applyFont="1">
      <alignment horizontal="center" readingOrder="0" shrinkToFit="0" vertical="center" wrapText="1"/>
    </xf>
    <xf borderId="17" fillId="3" fontId="5" numFmtId="0" xfId="0" applyBorder="1" applyFont="1"/>
    <xf borderId="17" fillId="3" fontId="19" numFmtId="0" xfId="0" applyAlignment="1" applyBorder="1" applyFont="1">
      <alignment horizontal="center" readingOrder="0"/>
    </xf>
    <xf borderId="18" fillId="3" fontId="17" numFmtId="0" xfId="0" applyAlignment="1" applyBorder="1" applyFont="1">
      <alignment horizontal="center" readingOrder="0" vertical="center"/>
    </xf>
    <xf borderId="53" fillId="3" fontId="20" numFmtId="0" xfId="0" applyAlignment="1" applyBorder="1" applyFont="1">
      <alignment horizontal="center" readingOrder="0" vertical="center"/>
    </xf>
    <xf borderId="53" fillId="3" fontId="5" numFmtId="0" xfId="0" applyBorder="1" applyFont="1"/>
    <xf borderId="53" fillId="3" fontId="19" numFmtId="0" xfId="0" applyAlignment="1" applyBorder="1" applyFont="1">
      <alignment horizontal="center" readingOrder="0"/>
    </xf>
    <xf borderId="27" fillId="6" fontId="6" numFmtId="0" xfId="0" applyAlignment="1" applyBorder="1" applyFont="1">
      <alignment horizontal="center" readingOrder="0" vertical="center"/>
    </xf>
    <xf borderId="37" fillId="6" fontId="20" numFmtId="0" xfId="0" applyAlignment="1" applyBorder="1" applyFont="1">
      <alignment horizontal="center" readingOrder="0" vertical="center"/>
    </xf>
    <xf borderId="37" fillId="6" fontId="19" numFmtId="0" xfId="0" applyAlignment="1" applyBorder="1" applyFont="1">
      <alignment horizontal="center" readingOrder="0"/>
    </xf>
    <xf borderId="37" fillId="6" fontId="30" numFmtId="0" xfId="0" applyAlignment="1" applyBorder="1" applyFont="1">
      <alignment horizontal="center" readingOrder="0"/>
    </xf>
    <xf borderId="60" fillId="3" fontId="20" numFmtId="0" xfId="0" applyAlignment="1" applyBorder="1" applyFont="1">
      <alignment horizontal="center" readingOrder="0"/>
    </xf>
    <xf borderId="18" fillId="8" fontId="20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5" fillId="6" fontId="20" numFmtId="0" xfId="0" applyAlignment="1" applyBorder="1" applyFont="1">
      <alignment horizontal="center" readingOrder="0" vertical="center"/>
    </xf>
    <xf borderId="5" fillId="6" fontId="19" numFmtId="0" xfId="0" applyAlignment="1" applyBorder="1" applyFont="1">
      <alignment horizontal="center" readingOrder="0"/>
    </xf>
    <xf borderId="5" fillId="6" fontId="2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/>
    </xf>
    <xf borderId="16" fillId="0" fontId="19" numFmtId="0" xfId="0" applyAlignment="1" applyBorder="1" applyFont="1">
      <alignment horizontal="center" readingOrder="0" vertical="center"/>
    </xf>
    <xf borderId="49" fillId="0" fontId="19" numFmtId="169" xfId="0" applyAlignment="1" applyBorder="1" applyFont="1" applyNumberFormat="1">
      <alignment horizontal="center" readingOrder="0" vertical="center"/>
    </xf>
    <xf borderId="69" fillId="9" fontId="6" numFmtId="0" xfId="0" applyAlignment="1" applyBorder="1" applyFont="1">
      <alignment horizontal="center" readingOrder="0" shrinkToFit="0" vertical="center" wrapText="1"/>
    </xf>
    <xf borderId="7" fillId="9" fontId="17" numFmtId="0" xfId="0" applyAlignment="1" applyBorder="1" applyFont="1">
      <alignment horizontal="center" vertical="center"/>
    </xf>
    <xf borderId="18" fillId="5" fontId="19" numFmtId="0" xfId="0" applyAlignment="1" applyBorder="1" applyFont="1">
      <alignment horizontal="center" readingOrder="0"/>
    </xf>
    <xf borderId="0" fillId="0" fontId="19" numFmtId="0" xfId="0" applyAlignment="1" applyFont="1">
      <alignment horizontal="center"/>
    </xf>
    <xf borderId="13" fillId="8" fontId="6" numFmtId="0" xfId="0" applyAlignment="1" applyBorder="1" applyFont="1">
      <alignment horizontal="center" shrinkToFit="0" vertical="center" wrapText="1"/>
    </xf>
    <xf borderId="7" fillId="8" fontId="20" numFmtId="0" xfId="0" applyAlignment="1" applyBorder="1" applyFont="1">
      <alignment horizontal="center" readingOrder="0" vertical="center"/>
    </xf>
    <xf borderId="7" fillId="8" fontId="17" numFmtId="0" xfId="0" applyAlignment="1" applyBorder="1" applyFont="1">
      <alignment horizontal="center" vertical="center"/>
    </xf>
    <xf borderId="24" fillId="10" fontId="6" numFmtId="0" xfId="0" applyAlignment="1" applyBorder="1" applyFont="1">
      <alignment horizontal="center" readingOrder="0" shrinkToFit="0" vertical="center" wrapText="1"/>
    </xf>
    <xf borderId="18" fillId="10" fontId="20" numFmtId="0" xfId="0" applyAlignment="1" applyBorder="1" applyFont="1">
      <alignment horizontal="center" readingOrder="0" vertical="center"/>
    </xf>
    <xf borderId="18" fillId="10" fontId="5" numFmtId="0" xfId="0" applyBorder="1" applyFont="1"/>
    <xf borderId="18" fillId="10" fontId="19" numFmtId="0" xfId="0" applyAlignment="1" applyBorder="1" applyFont="1">
      <alignment horizontal="center" readingOrder="0"/>
    </xf>
    <xf borderId="18" fillId="10" fontId="17" numFmtId="0" xfId="0" applyAlignment="1" applyBorder="1" applyFont="1">
      <alignment horizontal="center" vertical="center"/>
    </xf>
    <xf borderId="13" fillId="6" fontId="6" numFmtId="0" xfId="0" applyAlignment="1" applyBorder="1" applyFont="1">
      <alignment horizontal="center" shrinkToFit="0" vertical="center" wrapText="1"/>
    </xf>
    <xf borderId="7" fillId="6" fontId="5" numFmtId="0" xfId="0" applyBorder="1" applyFont="1"/>
    <xf borderId="7" fillId="6" fontId="19" numFmtId="0" xfId="0" applyAlignment="1" applyBorder="1" applyFont="1">
      <alignment horizontal="center" readingOrder="0"/>
    </xf>
    <xf borderId="24" fillId="5" fontId="6" numFmtId="0" xfId="0" applyAlignment="1" applyBorder="1" applyFont="1">
      <alignment horizontal="center" readingOrder="0" shrinkToFit="0" vertical="center" wrapText="1"/>
    </xf>
    <xf borderId="18" fillId="5" fontId="5" numFmtId="0" xfId="0" applyBorder="1" applyFont="1"/>
    <xf borderId="34" fillId="8" fontId="6" numFmtId="0" xfId="0" applyAlignment="1" applyBorder="1" applyFont="1">
      <alignment horizontal="center" readingOrder="0" shrinkToFit="0" vertical="center" wrapText="1"/>
    </xf>
    <xf borderId="13" fillId="7" fontId="6" numFmtId="0" xfId="0" applyAlignment="1" applyBorder="1" applyFont="1">
      <alignment horizontal="center" shrinkToFit="0" vertical="center" wrapText="1"/>
    </xf>
    <xf borderId="7" fillId="7" fontId="5" numFmtId="0" xfId="0" applyBorder="1" applyFont="1"/>
    <xf borderId="7" fillId="7" fontId="19" numFmtId="0" xfId="0" applyAlignment="1" applyBorder="1" applyFont="1">
      <alignment horizontal="center" readingOrder="0"/>
    </xf>
    <xf borderId="24" fillId="0" fontId="6" numFmtId="0" xfId="0" applyAlignment="1" applyBorder="1" applyFont="1">
      <alignment horizontal="center" readingOrder="0" shrinkToFit="0" vertical="center" wrapText="1"/>
    </xf>
    <xf borderId="18" fillId="0" fontId="20" numFmtId="0" xfId="0" applyAlignment="1" applyBorder="1" applyFont="1">
      <alignment horizontal="center" readingOrder="0" vertical="center"/>
    </xf>
    <xf borderId="18" fillId="0" fontId="19" numFmtId="0" xfId="0" applyAlignment="1" applyBorder="1" applyFont="1">
      <alignment horizontal="center" readingOrder="0"/>
    </xf>
    <xf borderId="34" fillId="3" fontId="6" numFmtId="0" xfId="0" applyAlignment="1" applyBorder="1" applyFont="1">
      <alignment horizontal="center" readingOrder="0" shrinkToFit="0" vertical="center" wrapText="1"/>
    </xf>
    <xf borderId="30" fillId="3" fontId="20" numFmtId="0" xfId="0" applyAlignment="1" applyBorder="1" applyFont="1">
      <alignment horizontal="center" readingOrder="0" vertical="center"/>
    </xf>
    <xf borderId="30" fillId="3" fontId="19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/>
    </xf>
    <xf borderId="24" fillId="8" fontId="6" numFmtId="0" xfId="0" applyAlignment="1" applyBorder="1" applyFont="1">
      <alignment horizontal="center" readingOrder="0" shrinkToFit="0" vertical="center" wrapText="1"/>
    </xf>
    <xf borderId="34" fillId="6" fontId="6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24" fillId="9" fontId="6" numFmtId="0" xfId="0" applyAlignment="1" applyBorder="1" applyFont="1">
      <alignment horizontal="center" readingOrder="0" shrinkToFit="0" vertical="center" wrapText="1"/>
    </xf>
    <xf borderId="13" fillId="5" fontId="6" numFmtId="0" xfId="0" applyAlignment="1" applyBorder="1" applyFont="1">
      <alignment horizontal="center" readingOrder="0" shrinkToFit="0" vertical="center" wrapText="1"/>
    </xf>
    <xf borderId="18" fillId="7" fontId="16" numFmtId="0" xfId="0" applyAlignment="1" applyBorder="1" applyFont="1">
      <alignment horizontal="center" readingOrder="0" vertical="center"/>
    </xf>
    <xf borderId="10" fillId="9" fontId="19" numFmtId="0" xfId="0" applyAlignment="1" applyBorder="1" applyFont="1">
      <alignment horizontal="center" readingOrder="0" vertical="center"/>
    </xf>
    <xf borderId="7" fillId="9" fontId="20" numFmtId="0" xfId="0" applyAlignment="1" applyBorder="1" applyFont="1">
      <alignment horizontal="center" readingOrder="0" vertical="center"/>
    </xf>
    <xf borderId="7" fillId="9" fontId="20" numFmtId="0" xfId="0" applyAlignment="1" applyBorder="1" applyFont="1">
      <alignment horizontal="center" readingOrder="0" shrinkToFit="0" vertical="center" wrapText="1"/>
    </xf>
    <xf borderId="7" fillId="9" fontId="19" numFmtId="0" xfId="0" applyAlignment="1" applyBorder="1" applyFont="1">
      <alignment horizontal="center" readingOrder="0" vertical="center"/>
    </xf>
    <xf borderId="30" fillId="7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53" fillId="7" fontId="20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7" fillId="3" fontId="20" numFmtId="0" xfId="0" applyAlignment="1" applyBorder="1" applyFont="1">
      <alignment horizontal="center" readingOrder="0" vertical="center"/>
    </xf>
    <xf borderId="7" fillId="3" fontId="5" numFmtId="0" xfId="0" applyBorder="1" applyFont="1"/>
    <xf borderId="7" fillId="3" fontId="19" numFmtId="0" xfId="0" applyAlignment="1" applyBorder="1" applyFont="1">
      <alignment horizontal="center" readingOrder="0"/>
    </xf>
    <xf borderId="18" fillId="9" fontId="16" numFmtId="0" xfId="0" applyAlignment="1" applyBorder="1" applyFont="1">
      <alignment horizontal="center" readingOrder="0"/>
    </xf>
    <xf borderId="34" fillId="25" fontId="6" numFmtId="0" xfId="0" applyAlignment="1" applyBorder="1" applyFont="1">
      <alignment horizontal="center" readingOrder="0" shrinkToFit="0" vertical="center" wrapText="1"/>
    </xf>
    <xf borderId="30" fillId="25" fontId="5" numFmtId="0" xfId="0" applyBorder="1" applyFont="1"/>
    <xf borderId="30" fillId="25" fontId="19" numFmtId="0" xfId="0" applyAlignment="1" applyBorder="1" applyFont="1">
      <alignment horizontal="center" readingOrder="0"/>
    </xf>
    <xf borderId="30" fillId="25" fontId="17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readingOrder="0" shrinkToFit="0" vertical="center" wrapText="1"/>
    </xf>
    <xf borderId="66" fillId="6" fontId="6" numFmtId="0" xfId="0" applyAlignment="1" applyBorder="1" applyFont="1">
      <alignment horizontal="center" readingOrder="0" shrinkToFit="0" vertical="center" wrapText="1"/>
    </xf>
    <xf borderId="67" fillId="6" fontId="2" numFmtId="0" xfId="0" applyAlignment="1" applyBorder="1" applyFont="1">
      <alignment horizontal="center" readingOrder="0" shrinkToFit="0" vertical="center" wrapText="1"/>
    </xf>
    <xf borderId="67" fillId="6" fontId="6" numFmtId="0" xfId="0" applyAlignment="1" applyBorder="1" applyFont="1">
      <alignment horizontal="center" readingOrder="0" shrinkToFit="0" vertical="center" wrapText="1"/>
    </xf>
    <xf borderId="67" fillId="6" fontId="7" numFmtId="0" xfId="0" applyAlignment="1" applyBorder="1" applyFont="1">
      <alignment horizontal="center" readingOrder="0" shrinkToFit="0" vertical="center" wrapText="1"/>
    </xf>
    <xf borderId="49" fillId="3" fontId="2" numFmtId="0" xfId="0" applyAlignment="1" applyBorder="1" applyFont="1">
      <alignment horizontal="center" readingOrder="0" shrinkToFit="0" vertical="center" wrapText="1"/>
    </xf>
    <xf borderId="18" fillId="9" fontId="2" numFmtId="0" xfId="0" applyAlignment="1" applyBorder="1" applyFont="1">
      <alignment horizontal="center" readingOrder="0" shrinkToFit="0" vertical="center" wrapText="1"/>
    </xf>
    <xf borderId="18" fillId="9" fontId="6" numFmtId="0" xfId="0" applyAlignment="1" applyBorder="1" applyFont="1">
      <alignment horizontal="center" readingOrder="0" shrinkToFit="0" vertical="center" wrapText="1"/>
    </xf>
    <xf borderId="18" fillId="9" fontId="7" numFmtId="0" xfId="0" applyAlignment="1" applyBorder="1" applyFont="1">
      <alignment horizontal="center" readingOrder="0" shrinkToFit="0" vertical="center" wrapText="1"/>
    </xf>
    <xf borderId="18" fillId="8" fontId="2" numFmtId="0" xfId="0" applyAlignment="1" applyBorder="1" applyFont="1">
      <alignment horizontal="center" readingOrder="0" shrinkToFit="0" vertical="center" wrapText="1"/>
    </xf>
    <xf borderId="18" fillId="8" fontId="6" numFmtId="0" xfId="0" applyAlignment="1" applyBorder="1" applyFont="1">
      <alignment horizontal="center" readingOrder="0" shrinkToFit="0" vertical="center" wrapText="1"/>
    </xf>
    <xf borderId="18" fillId="8" fontId="7" numFmtId="0" xfId="0" applyAlignment="1" applyBorder="1" applyFont="1">
      <alignment horizontal="center" readingOrder="0" shrinkToFit="0" vertical="center" wrapText="1"/>
    </xf>
    <xf borderId="24" fillId="3" fontId="6" numFmtId="0" xfId="0" applyAlignment="1" applyBorder="1" applyFont="1">
      <alignment horizontal="center" readingOrder="0" shrinkToFit="0" vertical="center" wrapText="1"/>
    </xf>
    <xf borderId="18" fillId="3" fontId="2" numFmtId="0" xfId="0" applyAlignment="1" applyBorder="1" applyFont="1">
      <alignment horizontal="center" readingOrder="0" shrinkToFit="0" vertical="center" wrapText="1"/>
    </xf>
    <xf borderId="18" fillId="3" fontId="6" numFmtId="0" xfId="0" applyAlignment="1" applyBorder="1" applyFont="1">
      <alignment horizontal="center" readingOrder="0" shrinkToFit="0" vertical="center" wrapText="1"/>
    </xf>
    <xf borderId="18" fillId="3" fontId="7" numFmtId="0" xfId="0" applyAlignment="1" applyBorder="1" applyFont="1">
      <alignment horizontal="center" readingOrder="0" shrinkToFit="0" vertical="center" wrapText="1"/>
    </xf>
    <xf borderId="18" fillId="6" fontId="2" numFmtId="0" xfId="0" applyAlignment="1" applyBorder="1" applyFont="1">
      <alignment horizontal="center" readingOrder="0" shrinkToFit="0" vertical="center" wrapText="1"/>
    </xf>
    <xf borderId="18" fillId="6" fontId="6" numFmtId="0" xfId="0" applyAlignment="1" applyBorder="1" applyFont="1">
      <alignment horizontal="center" readingOrder="0" shrinkToFit="0" vertical="center" wrapText="1"/>
    </xf>
    <xf borderId="18" fillId="6" fontId="7" numFmtId="0" xfId="0" applyAlignment="1" applyBorder="1" applyFont="1">
      <alignment horizontal="center" readingOrder="0" shrinkToFit="0" vertical="center" wrapText="1"/>
    </xf>
    <xf borderId="34" fillId="5" fontId="6" numFmtId="0" xfId="0" applyAlignment="1" applyBorder="1" applyFont="1">
      <alignment horizontal="center" readingOrder="0" shrinkToFit="0" vertical="center" wrapText="1"/>
    </xf>
    <xf borderId="30" fillId="5" fontId="2" numFmtId="0" xfId="0" applyAlignment="1" applyBorder="1" applyFont="1">
      <alignment horizontal="center" readingOrder="0" shrinkToFit="0" vertical="center" wrapText="1"/>
    </xf>
    <xf borderId="30" fillId="5" fontId="6" numFmtId="0" xfId="0" applyAlignment="1" applyBorder="1" applyFont="1">
      <alignment horizontal="center" readingOrder="0" shrinkToFit="0" vertical="center" wrapText="1"/>
    </xf>
    <xf borderId="30" fillId="5" fontId="7" numFmtId="0" xfId="0" applyAlignment="1" applyBorder="1" applyFont="1">
      <alignment horizontal="center" readingOrder="0" shrinkToFit="0" vertical="center" wrapText="1"/>
    </xf>
    <xf borderId="13" fillId="10" fontId="6" numFmtId="0" xfId="0" applyAlignment="1" applyBorder="1" applyFont="1">
      <alignment horizontal="center" shrinkToFit="0" vertical="center" wrapText="1"/>
    </xf>
    <xf borderId="7" fillId="10" fontId="20" numFmtId="0" xfId="0" applyAlignment="1" applyBorder="1" applyFont="1">
      <alignment horizontal="center" readingOrder="0" vertical="center"/>
    </xf>
    <xf borderId="7" fillId="10" fontId="5" numFmtId="0" xfId="0" applyBorder="1" applyFont="1"/>
    <xf borderId="7" fillId="10" fontId="19" numFmtId="0" xfId="0" applyAlignment="1" applyBorder="1" applyFont="1">
      <alignment horizontal="center" readingOrder="0"/>
    </xf>
    <xf borderId="7" fillId="10" fontId="17" numFmtId="0" xfId="0" applyAlignment="1" applyBorder="1" applyFont="1">
      <alignment horizontal="center" vertical="center"/>
    </xf>
    <xf borderId="0" fillId="0" fontId="23" numFmtId="0" xfId="0" applyAlignment="1" applyFont="1">
      <alignment readingOrder="0" shrinkToFit="0" vertical="center" wrapText="1"/>
    </xf>
    <xf borderId="53" fillId="3" fontId="20" numFmtId="0" xfId="0" applyAlignment="1" applyBorder="1" applyFont="1">
      <alignment horizontal="center" readingOrder="0"/>
    </xf>
    <xf borderId="34" fillId="10" fontId="6" numFmtId="0" xfId="0" applyAlignment="1" applyBorder="1" applyFont="1">
      <alignment horizontal="center" readingOrder="0" shrinkToFit="0" vertical="center" wrapText="1"/>
    </xf>
    <xf borderId="30" fillId="10" fontId="20" numFmtId="0" xfId="0" applyAlignment="1" applyBorder="1" applyFont="1">
      <alignment horizontal="center" readingOrder="0" vertical="center"/>
    </xf>
    <xf borderId="30" fillId="10" fontId="5" numFmtId="0" xfId="0" applyBorder="1" applyFont="1"/>
    <xf borderId="30" fillId="10" fontId="19" numFmtId="0" xfId="0" applyAlignment="1" applyBorder="1" applyFont="1">
      <alignment horizontal="center" readingOrder="0"/>
    </xf>
    <xf borderId="30" fillId="10" fontId="17" numFmtId="0" xfId="0" applyAlignment="1" applyBorder="1" applyFont="1">
      <alignment horizontal="center" vertical="center"/>
    </xf>
    <xf borderId="78" fillId="6" fontId="6" numFmtId="0" xfId="0" applyAlignment="1" applyBorder="1" applyFont="1">
      <alignment horizontal="center" readingOrder="0" shrinkToFit="0" vertical="center" wrapText="1"/>
    </xf>
    <xf borderId="17" fillId="6" fontId="20" numFmtId="0" xfId="0" applyAlignment="1" applyBorder="1" applyFont="1">
      <alignment horizontal="center" readingOrder="0" shrinkToFit="0" vertical="center" wrapText="1"/>
    </xf>
    <xf borderId="17" fillId="6" fontId="20" numFmtId="0" xfId="0" applyAlignment="1" applyBorder="1" applyFont="1">
      <alignment horizontal="center" readingOrder="0" vertical="center"/>
    </xf>
    <xf borderId="17" fillId="6" fontId="19" numFmtId="0" xfId="0" applyAlignment="1" applyBorder="1" applyFont="1">
      <alignment horizontal="center" readingOrder="0"/>
    </xf>
    <xf borderId="17" fillId="6" fontId="31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readingOrder="0" vertical="center"/>
    </xf>
    <xf borderId="34" fillId="0" fontId="6" numFmtId="0" xfId="0" applyAlignment="1" applyBorder="1" applyFont="1">
      <alignment horizontal="center" readingOrder="0" shrinkToFit="0" vertical="center" wrapText="1"/>
    </xf>
    <xf borderId="30" fillId="0" fontId="20" numFmtId="0" xfId="0" applyAlignment="1" applyBorder="1" applyFont="1">
      <alignment horizontal="center" readingOrder="0" vertical="center"/>
    </xf>
    <xf borderId="30" fillId="0" fontId="17" numFmtId="0" xfId="0" applyAlignment="1" applyBorder="1" applyFont="1">
      <alignment horizontal="center" vertical="center"/>
    </xf>
    <xf borderId="13" fillId="8" fontId="6" numFmtId="0" xfId="0" applyAlignment="1" applyBorder="1" applyFont="1">
      <alignment horizontal="center" readingOrder="0" shrinkToFit="0" vertical="bottom" wrapText="1"/>
    </xf>
    <xf borderId="7" fillId="8" fontId="2" numFmtId="0" xfId="0" applyAlignment="1" applyBorder="1" applyFont="1">
      <alignment horizontal="center" vertical="bottom"/>
    </xf>
    <xf borderId="7" fillId="8" fontId="6" numFmtId="0" xfId="0" applyAlignment="1" applyBorder="1" applyFont="1">
      <alignment horizontal="center" readingOrder="0" vertical="bottom"/>
    </xf>
    <xf borderId="7" fillId="8" fontId="17" numFmtId="0" xfId="0" applyAlignment="1" applyBorder="1" applyFont="1">
      <alignment horizontal="center" vertical="bottom"/>
    </xf>
    <xf borderId="24" fillId="0" fontId="6" numFmtId="0" xfId="0" applyAlignment="1" applyBorder="1" applyFont="1">
      <alignment horizontal="center" readingOrder="0" shrinkToFit="0" vertical="bottom" wrapText="1"/>
    </xf>
    <xf borderId="18" fillId="0" fontId="2" numFmtId="0" xfId="0" applyAlignment="1" applyBorder="1" applyFont="1">
      <alignment horizontal="center" readingOrder="0"/>
    </xf>
    <xf borderId="18" fillId="0" fontId="6" numFmtId="0" xfId="0" applyAlignment="1" applyBorder="1" applyFont="1">
      <alignment horizontal="center" readingOrder="0" vertical="bottom"/>
    </xf>
    <xf borderId="18" fillId="0" fontId="17" numFmtId="0" xfId="0" applyAlignment="1" applyBorder="1" applyFont="1">
      <alignment horizontal="center" vertical="bottom"/>
    </xf>
    <xf borderId="24" fillId="10" fontId="6" numFmtId="0" xfId="0" applyAlignment="1" applyBorder="1" applyFont="1">
      <alignment horizontal="center" shrinkToFit="0" vertical="bottom" wrapText="1"/>
    </xf>
    <xf borderId="18" fillId="10" fontId="2" numFmtId="0" xfId="0" applyAlignment="1" applyBorder="1" applyFont="1">
      <alignment horizontal="center" readingOrder="0" vertical="bottom"/>
    </xf>
    <xf borderId="18" fillId="10" fontId="6" numFmtId="0" xfId="0" applyAlignment="1" applyBorder="1" applyFont="1">
      <alignment horizontal="center" vertical="bottom"/>
    </xf>
    <xf borderId="34" fillId="7" fontId="6" numFmtId="0" xfId="0" applyAlignment="1" applyBorder="1" applyFont="1">
      <alignment horizontal="center" shrinkToFit="0" vertical="bottom" wrapText="1"/>
    </xf>
    <xf borderId="30" fillId="7" fontId="2" numFmtId="0" xfId="0" applyAlignment="1" applyBorder="1" applyFont="1">
      <alignment horizontal="center" vertical="bottom"/>
    </xf>
    <xf borderId="30" fillId="7" fontId="6" numFmtId="0" xfId="0" applyAlignment="1" applyBorder="1" applyFont="1">
      <alignment horizontal="center" vertical="bottom"/>
    </xf>
    <xf borderId="30" fillId="7" fontId="17" numFmtId="0" xfId="0" applyAlignment="1" applyBorder="1" applyFont="1">
      <alignment horizontal="center" vertical="bottom"/>
    </xf>
    <xf borderId="13" fillId="7" fontId="6" numFmtId="0" xfId="0" applyAlignment="1" applyBorder="1" applyFont="1">
      <alignment horizontal="center" readingOrder="0" shrinkToFit="0" vertical="center" wrapText="1"/>
    </xf>
    <xf borderId="24" fillId="14" fontId="6" numFmtId="0" xfId="0" applyAlignment="1" applyBorder="1" applyFont="1">
      <alignment horizontal="center" readingOrder="0" shrinkToFit="0" vertical="center" wrapText="1"/>
    </xf>
    <xf borderId="18" fillId="14" fontId="20" numFmtId="0" xfId="0" applyAlignment="1" applyBorder="1" applyFont="1">
      <alignment horizontal="center" readingOrder="0" vertical="center"/>
    </xf>
    <xf borderId="18" fillId="14" fontId="16" numFmtId="0" xfId="0" applyAlignment="1" applyBorder="1" applyFont="1">
      <alignment horizontal="center" readingOrder="0" vertical="center"/>
    </xf>
    <xf borderId="18" fillId="14" fontId="19" numFmtId="0" xfId="0" applyAlignment="1" applyBorder="1" applyFont="1">
      <alignment horizontal="center" readingOrder="0"/>
    </xf>
    <xf borderId="7" fillId="5" fontId="20" numFmtId="0" xfId="0" applyAlignment="1" applyBorder="1" applyFont="1">
      <alignment horizontal="center" readingOrder="0" shrinkToFit="0" vertical="center" wrapText="1"/>
    </xf>
    <xf borderId="30" fillId="6" fontId="20" numFmtId="0" xfId="0" applyAlignment="1" applyBorder="1" applyFont="1">
      <alignment horizontal="center" readingOrder="0" shrinkToFit="0" vertical="center" wrapText="1"/>
    </xf>
    <xf borderId="18" fillId="6" fontId="16" numFmtId="0" xfId="0" applyAlignment="1" applyBorder="1" applyFont="1">
      <alignment horizontal="center" readingOrder="0"/>
    </xf>
    <xf borderId="34" fillId="7" fontId="6" numFmtId="0" xfId="0" applyAlignment="1" applyBorder="1" applyFont="1">
      <alignment horizontal="center" readingOrder="0" shrinkToFit="0" vertical="center" wrapText="1"/>
    </xf>
    <xf borderId="18" fillId="7" fontId="23" numFmtId="0" xfId="0" applyAlignment="1" applyBorder="1" applyFont="1">
      <alignment horizontal="center" readingOrder="0"/>
    </xf>
    <xf borderId="24" fillId="11" fontId="6" numFmtId="0" xfId="0" applyAlignment="1" applyBorder="1" applyFont="1">
      <alignment horizontal="center" readingOrder="0" shrinkToFit="0" vertical="center" wrapText="1"/>
    </xf>
    <xf borderId="18" fillId="11" fontId="20" numFmtId="0" xfId="0" applyAlignment="1" applyBorder="1" applyFont="1">
      <alignment horizontal="center" readingOrder="0" vertical="center"/>
    </xf>
    <xf borderId="18" fillId="11" fontId="5" numFmtId="0" xfId="0" applyBorder="1" applyFont="1"/>
    <xf borderId="18" fillId="11" fontId="19" numFmtId="0" xfId="0" applyAlignment="1" applyBorder="1" applyFont="1">
      <alignment horizontal="center" readingOrder="0"/>
    </xf>
    <xf borderId="18" fillId="11" fontId="17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readingOrder="0" shrinkToFit="0" vertical="center" wrapText="1"/>
    </xf>
    <xf borderId="18" fillId="7" fontId="16" numFmtId="0" xfId="0" applyAlignment="1" applyBorder="1" applyFont="1">
      <alignment horizontal="center" readingOrder="0"/>
    </xf>
    <xf borderId="56" fillId="28" fontId="6" numFmtId="0" xfId="0" applyAlignment="1" applyBorder="1" applyFill="1" applyFont="1">
      <alignment horizontal="center" readingOrder="0" shrinkToFit="0" vertical="center" wrapText="1"/>
    </xf>
    <xf borderId="53" fillId="28" fontId="20" numFmtId="0" xfId="0" applyAlignment="1" applyBorder="1" applyFont="1">
      <alignment horizontal="center" readingOrder="0" vertical="center"/>
    </xf>
    <xf borderId="53" fillId="28" fontId="5" numFmtId="0" xfId="0" applyBorder="1" applyFont="1"/>
    <xf borderId="53" fillId="28" fontId="19" numFmtId="0" xfId="0" applyAlignment="1" applyBorder="1" applyFont="1">
      <alignment horizontal="center" readingOrder="0"/>
    </xf>
    <xf borderId="53" fillId="28" fontId="17" numFmtId="0" xfId="0" applyAlignment="1" applyBorder="1" applyFont="1">
      <alignment horizontal="center" readingOrder="0" vertical="center"/>
    </xf>
    <xf borderId="13" fillId="14" fontId="6" numFmtId="0" xfId="0" applyAlignment="1" applyBorder="1" applyFont="1">
      <alignment horizontal="center" readingOrder="0" shrinkToFit="0" vertical="center" wrapText="1"/>
    </xf>
    <xf borderId="7" fillId="14" fontId="20" numFmtId="0" xfId="0" applyAlignment="1" applyBorder="1" applyFont="1">
      <alignment horizontal="center" readingOrder="0"/>
    </xf>
    <xf borderId="7" fillId="14" fontId="19" numFmtId="0" xfId="0" applyAlignment="1" applyBorder="1" applyFont="1">
      <alignment horizontal="center" readingOrder="0"/>
    </xf>
    <xf borderId="7" fillId="14" fontId="17" numFmtId="0" xfId="0" applyAlignment="1" applyBorder="1" applyFont="1">
      <alignment horizontal="center" vertical="center"/>
    </xf>
    <xf borderId="24" fillId="25" fontId="6" numFmtId="0" xfId="0" applyAlignment="1" applyBorder="1" applyFont="1">
      <alignment horizontal="center" readingOrder="0" shrinkToFit="0" vertical="center" wrapText="1"/>
    </xf>
    <xf borderId="18" fillId="25" fontId="16" numFmtId="0" xfId="0" applyAlignment="1" applyBorder="1" applyFont="1">
      <alignment horizontal="center" readingOrder="0" vertical="center"/>
    </xf>
    <xf borderId="18" fillId="25" fontId="19" numFmtId="0" xfId="0" applyAlignment="1" applyBorder="1" applyFont="1">
      <alignment horizontal="center" readingOrder="0"/>
    </xf>
    <xf borderId="18" fillId="25" fontId="17" numFmtId="0" xfId="0" applyAlignment="1" applyBorder="1" applyFont="1">
      <alignment horizontal="center" vertical="center"/>
    </xf>
    <xf borderId="10" fillId="6" fontId="19" numFmtId="0" xfId="0" applyAlignment="1" applyBorder="1" applyFont="1">
      <alignment horizontal="center" readingOrder="0" vertical="center"/>
    </xf>
    <xf borderId="7" fillId="6" fontId="20" numFmtId="0" xfId="0" applyAlignment="1" applyBorder="1" applyFont="1">
      <alignment horizontal="center" readingOrder="0" shrinkToFit="0" vertical="center" wrapText="1"/>
    </xf>
    <xf borderId="7" fillId="6" fontId="19" numFmtId="0" xfId="0" applyAlignment="1" applyBorder="1" applyFont="1">
      <alignment horizontal="center" readingOrder="0" vertical="center"/>
    </xf>
    <xf borderId="18" fillId="6" fontId="20" numFmtId="0" xfId="0" applyAlignment="1" applyBorder="1" applyFont="1">
      <alignment horizontal="center" readingOrder="0" shrinkToFit="0" vertical="center" wrapText="1"/>
    </xf>
    <xf borderId="37" fillId="25" fontId="20" numFmtId="0" xfId="0" applyAlignment="1" applyBorder="1" applyFont="1">
      <alignment horizontal="center" readingOrder="0" shrinkToFit="0" vertical="center" wrapText="1"/>
    </xf>
    <xf borderId="13" fillId="14" fontId="6" numFmtId="0" xfId="0" applyAlignment="1" applyBorder="1" applyFont="1">
      <alignment horizontal="center" shrinkToFit="0" vertical="center" wrapText="1"/>
    </xf>
    <xf borderId="7" fillId="14" fontId="5" numFmtId="0" xfId="0" applyBorder="1" applyFont="1"/>
    <xf borderId="7" fillId="5" fontId="16" numFmtId="0" xfId="0" applyAlignment="1" applyBorder="1" applyFont="1">
      <alignment horizontal="center" readingOrder="0"/>
    </xf>
    <xf borderId="18" fillId="25" fontId="6" numFmtId="0" xfId="0" applyAlignment="1" applyBorder="1" applyFont="1">
      <alignment horizontal="center" readingOrder="0" shrinkToFit="0" vertical="center" wrapText="1"/>
    </xf>
    <xf borderId="18" fillId="25" fontId="20" numFmtId="0" xfId="0" applyAlignment="1" applyBorder="1" applyFont="1">
      <alignment horizontal="center" readingOrder="0" shrinkToFit="0" vertical="center" wrapText="1"/>
    </xf>
    <xf borderId="37" fillId="0" fontId="20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vertical="center"/>
    </xf>
    <xf borderId="44" fillId="4" fontId="20" numFmtId="0" xfId="0" applyAlignment="1" applyBorder="1" applyFont="1">
      <alignment horizontal="center" readingOrder="0" vertical="center"/>
    </xf>
    <xf borderId="70" fillId="4" fontId="20" numFmtId="0" xfId="0" applyAlignment="1" applyBorder="1" applyFont="1">
      <alignment horizontal="center" readingOrder="0" vertical="center"/>
    </xf>
    <xf borderId="45" fillId="4" fontId="20" numFmtId="0" xfId="0" applyAlignment="1" applyBorder="1" applyFont="1">
      <alignment readingOrder="0"/>
    </xf>
    <xf borderId="7" fillId="0" fontId="19" numFmtId="164" xfId="0" applyAlignment="1" applyBorder="1" applyFont="1" applyNumberFormat="1">
      <alignment horizontal="center" readingOrder="0" vertical="center"/>
    </xf>
    <xf borderId="7" fillId="0" fontId="19" numFmtId="0" xfId="0" applyAlignment="1" applyBorder="1" applyFont="1">
      <alignment horizontal="center" readingOrder="0" vertical="center"/>
    </xf>
    <xf borderId="7" fillId="0" fontId="19" numFmtId="166" xfId="0" applyAlignment="1" applyBorder="1" applyFont="1" applyNumberFormat="1">
      <alignment horizontal="center" readingOrder="0" vertical="center"/>
    </xf>
    <xf borderId="14" fillId="0" fontId="19" numFmtId="166" xfId="0" applyAlignment="1" applyBorder="1" applyFont="1" applyNumberFormat="1">
      <alignment horizontal="center" vertical="center"/>
    </xf>
    <xf borderId="15" fillId="0" fontId="19" numFmtId="166" xfId="0" applyAlignment="1" applyBorder="1" applyFont="1" applyNumberFormat="1">
      <alignment horizontal="center" vertical="center"/>
    </xf>
    <xf borderId="18" fillId="0" fontId="19" numFmtId="164" xfId="0" applyAlignment="1" applyBorder="1" applyFont="1" applyNumberFormat="1">
      <alignment horizontal="center" readingOrder="0" vertical="center"/>
    </xf>
    <xf borderId="18" fillId="0" fontId="19" numFmtId="0" xfId="0" applyAlignment="1" applyBorder="1" applyFont="1">
      <alignment horizontal="center" readingOrder="0" vertical="center"/>
    </xf>
    <xf borderId="18" fillId="0" fontId="19" numFmtId="166" xfId="0" applyAlignment="1" applyBorder="1" applyFont="1" applyNumberFormat="1">
      <alignment horizontal="center" readingOrder="0" vertical="center"/>
    </xf>
    <xf borderId="25" fillId="0" fontId="19" numFmtId="166" xfId="0" applyAlignment="1" applyBorder="1" applyFont="1" applyNumberFormat="1">
      <alignment horizontal="center" vertical="center"/>
    </xf>
    <xf borderId="53" fillId="0" fontId="19" numFmtId="164" xfId="0" applyAlignment="1" applyBorder="1" applyFont="1" applyNumberFormat="1">
      <alignment horizontal="center" readingOrder="0" vertical="center"/>
    </xf>
    <xf borderId="53" fillId="0" fontId="19" numFmtId="0" xfId="0" applyAlignment="1" applyBorder="1" applyFont="1">
      <alignment horizontal="center" readingOrder="0" vertical="center"/>
    </xf>
    <xf borderId="53" fillId="0" fontId="19" numFmtId="166" xfId="0" applyAlignment="1" applyBorder="1" applyFont="1" applyNumberFormat="1">
      <alignment horizontal="center" readingOrder="0" vertical="center"/>
    </xf>
    <xf borderId="57" fillId="0" fontId="19" numFmtId="166" xfId="0" applyAlignment="1" applyBorder="1" applyFont="1" applyNumberFormat="1">
      <alignment horizontal="center" vertical="center"/>
    </xf>
    <xf borderId="30" fillId="0" fontId="19" numFmtId="164" xfId="0" applyAlignment="1" applyBorder="1" applyFont="1" applyNumberFormat="1">
      <alignment horizontal="center" readingOrder="0" vertical="center"/>
    </xf>
    <xf borderId="30" fillId="0" fontId="19" numFmtId="0" xfId="0" applyAlignment="1" applyBorder="1" applyFont="1">
      <alignment horizontal="center" readingOrder="0" vertical="center"/>
    </xf>
    <xf borderId="30" fillId="0" fontId="19" numFmtId="166" xfId="0" applyAlignment="1" applyBorder="1" applyFont="1" applyNumberFormat="1">
      <alignment horizontal="center" readingOrder="0" vertical="center"/>
    </xf>
    <xf borderId="35" fillId="0" fontId="19" numFmtId="166" xfId="0" applyAlignment="1" applyBorder="1" applyFont="1" applyNumberFormat="1">
      <alignment horizontal="center" vertical="center"/>
    </xf>
    <xf borderId="67" fillId="0" fontId="19" numFmtId="164" xfId="0" applyAlignment="1" applyBorder="1" applyFont="1" applyNumberFormat="1">
      <alignment horizontal="center" readingOrder="0" vertical="center"/>
    </xf>
    <xf borderId="67" fillId="0" fontId="19" numFmtId="0" xfId="0" applyAlignment="1" applyBorder="1" applyFont="1">
      <alignment horizontal="center" readingOrder="0" vertical="center"/>
    </xf>
    <xf borderId="67" fillId="0" fontId="19" numFmtId="166" xfId="0" applyAlignment="1" applyBorder="1" applyFont="1" applyNumberFormat="1">
      <alignment horizontal="center" readingOrder="0" vertical="center"/>
    </xf>
    <xf borderId="77" fillId="0" fontId="19" numFmtId="166" xfId="0" applyAlignment="1" applyBorder="1" applyFont="1" applyNumberFormat="1">
      <alignment horizontal="center" vertical="center"/>
    </xf>
    <xf borderId="26" fillId="0" fontId="19" numFmtId="166" xfId="0" applyAlignment="1" applyBorder="1" applyFont="1" applyNumberFormat="1">
      <alignment horizontal="center" vertical="center"/>
    </xf>
    <xf borderId="18" fillId="0" fontId="19" numFmtId="164" xfId="0" applyAlignment="1" applyBorder="1" applyFont="1" applyNumberFormat="1">
      <alignment horizontal="center" readingOrder="0"/>
    </xf>
    <xf borderId="30" fillId="0" fontId="19" numFmtId="164" xfId="0" applyAlignment="1" applyBorder="1" applyFont="1" applyNumberFormat="1">
      <alignment horizontal="center" readingOrder="0"/>
    </xf>
    <xf borderId="4" fillId="0" fontId="19" numFmtId="0" xfId="0" applyAlignment="1" applyBorder="1" applyFont="1">
      <alignment horizontal="center" readingOrder="0"/>
    </xf>
    <xf borderId="5" fillId="0" fontId="19" numFmtId="164" xfId="0" applyAlignment="1" applyBorder="1" applyFont="1" applyNumberFormat="1">
      <alignment horizontal="center" readingOrder="0"/>
    </xf>
    <xf borderId="5" fillId="0" fontId="19" numFmtId="0" xfId="0" applyAlignment="1" applyBorder="1" applyFont="1">
      <alignment horizontal="center" readingOrder="0"/>
    </xf>
    <xf borderId="5" fillId="0" fontId="19" numFmtId="166" xfId="0" applyAlignment="1" applyBorder="1" applyFont="1" applyNumberFormat="1">
      <alignment horizontal="center" readingOrder="0"/>
    </xf>
    <xf borderId="47" fillId="0" fontId="19" numFmtId="166" xfId="0" applyAlignment="1" applyBorder="1" applyFont="1" applyNumberFormat="1">
      <alignment horizontal="center"/>
    </xf>
    <xf borderId="48" fillId="0" fontId="19" numFmtId="166" xfId="0" applyAlignment="1" applyBorder="1" applyFont="1" applyNumberFormat="1">
      <alignment horizontal="center"/>
    </xf>
    <xf borderId="1" fillId="0" fontId="19" numFmtId="0" xfId="0" applyAlignment="1" applyBorder="1" applyFont="1">
      <alignment horizontal="center" readingOrder="0" shrinkToFit="0" vertical="center" wrapText="1"/>
    </xf>
    <xf borderId="14" fillId="0" fontId="19" numFmtId="0" xfId="0" applyAlignment="1" applyBorder="1" applyFont="1">
      <alignment horizontal="center" readingOrder="0" vertical="center"/>
    </xf>
    <xf borderId="59" fillId="0" fontId="19" numFmtId="0" xfId="0" applyAlignment="1" applyBorder="1" applyFont="1">
      <alignment horizontal="center"/>
    </xf>
    <xf borderId="25" fillId="0" fontId="19" numFmtId="0" xfId="0" applyAlignment="1" applyBorder="1" applyFont="1">
      <alignment horizontal="center" readingOrder="0" vertical="center"/>
    </xf>
    <xf borderId="57" fillId="0" fontId="19" numFmtId="0" xfId="0" applyAlignment="1" applyBorder="1" applyFont="1">
      <alignment horizontal="center" readingOrder="0" vertical="center"/>
    </xf>
    <xf borderId="35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/>
    </xf>
    <xf borderId="7" fillId="0" fontId="19" numFmtId="166" xfId="0" applyAlignment="1" applyBorder="1" applyFont="1" applyNumberFormat="1">
      <alignment horizontal="center" vertical="center"/>
    </xf>
    <xf borderId="3" fillId="0" fontId="19" numFmtId="166" xfId="0" applyAlignment="1" applyBorder="1" applyFont="1" applyNumberFormat="1">
      <alignment horizontal="center"/>
    </xf>
    <xf borderId="30" fillId="0" fontId="19" numFmtId="166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readingOrder="0" vertical="top"/>
    </xf>
    <xf borderId="0" fillId="0" fontId="5" numFmtId="0" xfId="0" applyAlignment="1" applyFont="1">
      <alignment vertical="center"/>
    </xf>
    <xf borderId="18" fillId="6" fontId="16" numFmtId="0" xfId="0" applyAlignment="1" applyBorder="1" applyFont="1">
      <alignment horizontal="center" readingOrder="0" vertical="center"/>
    </xf>
    <xf borderId="10" fillId="27" fontId="19" numFmtId="0" xfId="0" applyAlignment="1" applyBorder="1" applyFont="1">
      <alignment horizontal="center" readingOrder="0" vertical="center"/>
    </xf>
    <xf borderId="7" fillId="27" fontId="20" numFmtId="0" xfId="0" applyAlignment="1" applyBorder="1" applyFont="1">
      <alignment horizontal="center" readingOrder="0" vertical="center"/>
    </xf>
    <xf borderId="7" fillId="27" fontId="20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readingOrder="0"/>
    </xf>
    <xf borderId="7" fillId="0" fontId="19" numFmtId="0" xfId="0" applyAlignment="1" applyBorder="1" applyFont="1">
      <alignment horizontal="center" readingOrder="0"/>
    </xf>
    <xf borderId="7" fillId="5" fontId="7" numFmtId="0" xfId="0" applyAlignment="1" applyBorder="1" applyFont="1">
      <alignment horizontal="center" readingOrder="0" vertical="center"/>
    </xf>
    <xf borderId="18" fillId="9" fontId="16" numFmtId="0" xfId="0" applyAlignment="1" applyBorder="1" applyFont="1">
      <alignment horizontal="center" readingOrder="0" vertical="center"/>
    </xf>
    <xf borderId="18" fillId="9" fontId="7" numFmtId="0" xfId="0" applyAlignment="1" applyBorder="1" applyFont="1">
      <alignment horizontal="center" readingOrder="0" vertical="center"/>
    </xf>
    <xf borderId="18" fillId="6" fontId="7" numFmtId="0" xfId="0" applyAlignment="1" applyBorder="1" applyFont="1">
      <alignment horizontal="center" readingOrder="0" vertical="center"/>
    </xf>
    <xf borderId="30" fillId="3" fontId="7" numFmtId="0" xfId="0" applyAlignment="1" applyBorder="1" applyFont="1">
      <alignment horizontal="center" readingOrder="0" vertical="center"/>
    </xf>
    <xf borderId="1" fillId="3" fontId="33" numFmtId="0" xfId="0" applyAlignment="1" applyBorder="1" applyFont="1">
      <alignment horizontal="center" readingOrder="0" vertical="center"/>
    </xf>
    <xf borderId="3" fillId="3" fontId="33" numFmtId="164" xfId="0" applyAlignment="1" applyBorder="1" applyFont="1" applyNumberFormat="1">
      <alignment horizontal="center" readingOrder="0" vertical="center"/>
    </xf>
    <xf borderId="18" fillId="10" fontId="16" numFmtId="0" xfId="0" applyAlignment="1" applyBorder="1" applyFont="1">
      <alignment horizontal="center" readingOrder="0" vertical="center"/>
    </xf>
    <xf borderId="18" fillId="3" fontId="5" numFmtId="0" xfId="0" applyBorder="1" applyFont="1"/>
    <xf borderId="18" fillId="3" fontId="19" numFmtId="0" xfId="0" applyAlignment="1" applyBorder="1" applyFont="1">
      <alignment horizontal="center" readingOrder="0"/>
    </xf>
    <xf borderId="4" fillId="6" fontId="33" numFmtId="0" xfId="0" applyAlignment="1" applyBorder="1" applyFont="1">
      <alignment horizontal="center" readingOrder="0" vertical="center"/>
    </xf>
    <xf borderId="5" fillId="6" fontId="34" numFmtId="0" xfId="0" applyAlignment="1" applyBorder="1" applyFont="1">
      <alignment horizontal="center" readingOrder="0" vertical="center"/>
    </xf>
    <xf borderId="5" fillId="6" fontId="34" numFmtId="0" xfId="0" applyAlignment="1" applyBorder="1" applyFont="1">
      <alignment horizontal="center" readingOrder="0" shrinkToFit="0" vertical="center" wrapText="1"/>
    </xf>
    <xf borderId="5" fillId="6" fontId="33" numFmtId="0" xfId="0" applyAlignment="1" applyBorder="1" applyFont="1">
      <alignment horizontal="center" readingOrder="0" vertical="center"/>
    </xf>
    <xf borderId="5" fillId="6" fontId="7" numFmtId="0" xfId="0" applyAlignment="1" applyBorder="1" applyFont="1">
      <alignment horizontal="center" readingOrder="0" vertical="center"/>
    </xf>
    <xf borderId="6" fillId="3" fontId="34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shrinkToFit="0" vertical="bottom" wrapText="1"/>
    </xf>
    <xf borderId="13" fillId="3" fontId="2" numFmtId="0" xfId="0" applyAlignment="1" applyBorder="1" applyFont="1">
      <alignment horizontal="center" vertical="bottom"/>
    </xf>
    <xf borderId="69" fillId="0" fontId="6" numFmtId="0" xfId="0" applyAlignment="1" applyBorder="1" applyFont="1">
      <alignment horizontal="center" readingOrder="0" shrinkToFit="0" vertical="bottom" wrapText="1"/>
    </xf>
    <xf borderId="66" fillId="3" fontId="2" numFmtId="0" xfId="0" applyAlignment="1" applyBorder="1" applyFont="1">
      <alignment horizontal="center" vertical="bottom"/>
    </xf>
    <xf borderId="18" fillId="0" fontId="23" numFmtId="0" xfId="0" applyAlignment="1" applyBorder="1" applyFont="1">
      <alignment horizontal="center" readingOrder="0"/>
    </xf>
    <xf borderId="16" fillId="27" fontId="6" numFmtId="0" xfId="0" applyAlignment="1" applyBorder="1" applyFont="1">
      <alignment horizontal="center" readingOrder="0" shrinkToFit="0" vertical="bottom" wrapText="1"/>
    </xf>
    <xf borderId="78" fillId="27" fontId="2" numFmtId="0" xfId="0" applyAlignment="1" applyBorder="1" applyFont="1">
      <alignment horizontal="center" vertical="bottom"/>
    </xf>
    <xf borderId="53" fillId="27" fontId="19" numFmtId="0" xfId="0" applyAlignment="1" applyBorder="1" applyFont="1">
      <alignment horizontal="center" readingOrder="0"/>
    </xf>
    <xf borderId="53" fillId="27" fontId="17" numFmtId="0" xfId="0" applyAlignment="1" applyBorder="1" applyFont="1">
      <alignment horizontal="center" vertical="center"/>
    </xf>
    <xf borderId="65" fillId="0" fontId="8" numFmtId="0" xfId="0" applyBorder="1" applyFont="1"/>
    <xf borderId="69" fillId="27" fontId="6" numFmtId="0" xfId="0" applyAlignment="1" applyBorder="1" applyFont="1">
      <alignment horizontal="center" shrinkToFit="0" vertical="bottom" wrapText="1"/>
    </xf>
    <xf borderId="66" fillId="27" fontId="2" numFmtId="0" xfId="0" applyAlignment="1" applyBorder="1" applyFont="1">
      <alignment horizontal="center" vertical="bottom"/>
    </xf>
    <xf borderId="7" fillId="27" fontId="16" numFmtId="0" xfId="0" applyAlignment="1" applyBorder="1" applyFont="1">
      <alignment horizontal="center" readingOrder="0"/>
    </xf>
    <xf borderId="7" fillId="27" fontId="19" numFmtId="0" xfId="0" applyAlignment="1" applyBorder="1" applyFont="1">
      <alignment horizontal="center" readingOrder="0"/>
    </xf>
    <xf borderId="69" fillId="3" fontId="6" numFmtId="0" xfId="0" applyAlignment="1" applyBorder="1" applyFont="1">
      <alignment horizontal="center" shrinkToFit="0" vertical="bottom" wrapText="1"/>
    </xf>
    <xf borderId="66" fillId="3" fontId="9" numFmtId="0" xfId="0" applyAlignment="1" applyBorder="1" applyFont="1">
      <alignment horizontal="center" vertical="bottom"/>
    </xf>
    <xf borderId="18" fillId="3" fontId="16" numFmtId="0" xfId="0" applyAlignment="1" applyBorder="1" applyFont="1">
      <alignment horizontal="center" readingOrder="0" vertical="center"/>
    </xf>
    <xf borderId="69" fillId="25" fontId="6" numFmtId="0" xfId="0" applyAlignment="1" applyBorder="1" applyFont="1">
      <alignment horizontal="center" shrinkToFit="0" vertical="bottom" wrapText="1"/>
    </xf>
    <xf borderId="66" fillId="25" fontId="2" numFmtId="0" xfId="0" applyAlignment="1" applyBorder="1" applyFont="1">
      <alignment horizontal="center" vertical="bottom"/>
    </xf>
    <xf borderId="18" fillId="25" fontId="5" numFmtId="0" xfId="0" applyBorder="1" applyFont="1"/>
    <xf borderId="27" fillId="3" fontId="6" numFmtId="0" xfId="0" applyAlignment="1" applyBorder="1" applyFont="1">
      <alignment horizontal="center" shrinkToFit="0" vertical="bottom" wrapText="1"/>
    </xf>
    <xf borderId="65" fillId="3" fontId="9" numFmtId="0" xfId="0" applyAlignment="1" applyBorder="1" applyFont="1">
      <alignment horizontal="center" vertical="bottom"/>
    </xf>
    <xf borderId="69" fillId="27" fontId="6" numFmtId="0" xfId="0" applyAlignment="1" applyBorder="1" applyFont="1">
      <alignment horizontal="center" vertical="bottom"/>
    </xf>
    <xf borderId="27" fillId="10" fontId="6" numFmtId="0" xfId="0" applyAlignment="1" applyBorder="1" applyFont="1">
      <alignment horizontal="center" vertical="bottom"/>
    </xf>
    <xf borderId="65" fillId="10" fontId="2" numFmtId="0" xfId="0" applyAlignment="1" applyBorder="1" applyFont="1">
      <alignment horizontal="center" vertical="bottom"/>
    </xf>
    <xf borderId="30" fillId="10" fontId="20" numFmtId="0" xfId="0" applyAlignment="1" applyBorder="1" applyFont="1">
      <alignment horizontal="center" readingOrder="0" shrinkToFit="0" vertical="center" wrapText="1"/>
    </xf>
    <xf borderId="30" fillId="10" fontId="19" numFmtId="0" xfId="0" applyAlignment="1" applyBorder="1" applyFont="1">
      <alignment horizontal="center" readingOrder="0" vertical="center"/>
    </xf>
    <xf borderId="69" fillId="6" fontId="6" numFmtId="0" xfId="0" applyAlignment="1" applyBorder="1" applyFont="1">
      <alignment horizontal="center" shrinkToFit="0" vertical="bottom" wrapText="1"/>
    </xf>
    <xf borderId="66" fillId="6" fontId="2" numFmtId="0" xfId="0" applyAlignment="1" applyBorder="1" applyFont="1">
      <alignment horizontal="center" vertical="bottom"/>
    </xf>
    <xf borderId="18" fillId="25" fontId="16" numFmtId="0" xfId="0" applyAlignment="1" applyBorder="1" applyFont="1">
      <alignment horizontal="center" readingOrder="0"/>
    </xf>
    <xf borderId="27" fillId="10" fontId="6" numFmtId="0" xfId="0" applyAlignment="1" applyBorder="1" applyFont="1">
      <alignment horizontal="center" shrinkToFit="0" vertical="bottom" wrapText="1"/>
    </xf>
    <xf borderId="30" fillId="10" fontId="16" numFmtId="0" xfId="0" applyAlignment="1" applyBorder="1" applyFont="1">
      <alignment readingOrder="0"/>
    </xf>
    <xf borderId="69" fillId="27" fontId="6" numFmtId="0" xfId="0" applyAlignment="1" applyBorder="1" applyFont="1">
      <alignment horizontal="center" shrinkToFit="0" vertical="bottom" wrapText="1"/>
    </xf>
    <xf borderId="7" fillId="27" fontId="20" numFmtId="0" xfId="0" applyAlignment="1" applyBorder="1" applyFont="1">
      <alignment horizontal="center" readingOrder="0"/>
    </xf>
    <xf borderId="18" fillId="3" fontId="23" numFmtId="0" xfId="0" applyAlignment="1" applyBorder="1" applyFont="1">
      <alignment horizontal="center" readingOrder="0"/>
    </xf>
    <xf borderId="69" fillId="0" fontId="6" numFmtId="0" xfId="0" applyAlignment="1" applyBorder="1" applyFont="1">
      <alignment horizontal="center" shrinkToFit="0" vertical="bottom" wrapText="1"/>
    </xf>
    <xf borderId="24" fillId="0" fontId="9" numFmtId="0" xfId="0" applyAlignment="1" applyBorder="1" applyFont="1">
      <alignment horizontal="center" vertical="bottom"/>
    </xf>
    <xf borderId="18" fillId="3" fontId="20" numFmtId="0" xfId="0" applyAlignment="1" applyBorder="1" applyFont="1">
      <alignment horizontal="center" readingOrder="0" shrinkToFit="0" vertical="center" wrapText="1"/>
    </xf>
    <xf borderId="27" fillId="25" fontId="6" numFmtId="0" xfId="0" applyAlignment="1" applyBorder="1" applyFont="1">
      <alignment horizontal="center" shrinkToFit="0" vertical="bottom" wrapText="1"/>
    </xf>
    <xf borderId="34" fillId="25" fontId="2" numFmtId="0" xfId="0" applyAlignment="1" applyBorder="1" applyFont="1">
      <alignment horizontal="center" vertical="bottom"/>
    </xf>
    <xf borderId="30" fillId="25" fontId="20" numFmtId="0" xfId="0" applyAlignment="1" applyBorder="1" applyFont="1">
      <alignment horizontal="center" readingOrder="0" shrinkToFit="0" vertical="center" wrapText="1"/>
    </xf>
    <xf borderId="69" fillId="7" fontId="6" numFmtId="0" xfId="0" applyAlignment="1" applyBorder="1" applyFont="1">
      <alignment horizontal="center" shrinkToFit="0" vertical="bottom" wrapText="1"/>
    </xf>
    <xf borderId="66" fillId="7" fontId="2" numFmtId="0" xfId="0" applyAlignment="1" applyBorder="1" applyFont="1">
      <alignment horizontal="center" vertical="bottom"/>
    </xf>
    <xf borderId="69" fillId="10" fontId="6" numFmtId="0" xfId="0" applyAlignment="1" applyBorder="1" applyFont="1">
      <alignment horizontal="center" shrinkToFit="0" vertical="bottom" wrapText="1"/>
    </xf>
    <xf borderId="66" fillId="10" fontId="2" numFmtId="0" xfId="0" applyAlignment="1" applyBorder="1" applyFont="1">
      <alignment horizontal="center" vertical="bottom"/>
    </xf>
    <xf borderId="66" fillId="27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center"/>
    </xf>
    <xf borderId="69" fillId="9" fontId="6" numFmtId="0" xfId="0" applyAlignment="1" applyBorder="1" applyFont="1">
      <alignment horizontal="center" shrinkToFit="0" vertical="bottom" wrapText="1"/>
    </xf>
    <xf borderId="66" fillId="9" fontId="9" numFmtId="0" xfId="0" applyAlignment="1" applyBorder="1" applyFont="1">
      <alignment horizontal="center" readingOrder="0" vertical="bottom"/>
    </xf>
    <xf borderId="66" fillId="25" fontId="2" numFmtId="0" xfId="0" applyAlignment="1" applyBorder="1" applyFont="1">
      <alignment horizontal="center" readingOrder="0" vertical="bottom"/>
    </xf>
    <xf borderId="27" fillId="0" fontId="6" numFmtId="0" xfId="0" applyAlignment="1" applyBorder="1" applyFont="1">
      <alignment horizontal="center" shrinkToFit="0" vertical="bottom" wrapText="1"/>
    </xf>
    <xf borderId="65" fillId="0" fontId="9" numFmtId="0" xfId="0" applyAlignment="1" applyBorder="1" applyFont="1">
      <alignment horizontal="center" readingOrder="0" vertical="bottom"/>
    </xf>
    <xf borderId="69" fillId="14" fontId="6" numFmtId="0" xfId="0" applyAlignment="1" applyBorder="1" applyFont="1">
      <alignment horizontal="center" vertical="bottom"/>
    </xf>
    <xf borderId="66" fillId="14" fontId="2" numFmtId="0" xfId="0" applyAlignment="1" applyBorder="1" applyFont="1">
      <alignment horizontal="center" readingOrder="0" vertical="bottom"/>
    </xf>
    <xf borderId="7" fillId="14" fontId="20" numFmtId="0" xfId="0" applyAlignment="1" applyBorder="1" applyFont="1">
      <alignment horizontal="center" readingOrder="0" shrinkToFit="0" vertical="center" wrapText="1"/>
    </xf>
    <xf borderId="7" fillId="14" fontId="19" numFmtId="0" xfId="0" applyAlignment="1" applyBorder="1" applyFont="1">
      <alignment horizontal="center" readingOrder="0" vertical="center"/>
    </xf>
    <xf borderId="27" fillId="6" fontId="6" numFmtId="0" xfId="0" applyAlignment="1" applyBorder="1" applyFont="1">
      <alignment horizontal="center" vertical="bottom"/>
    </xf>
    <xf borderId="65" fillId="6" fontId="2" numFmtId="0" xfId="0" applyAlignment="1" applyBorder="1" applyFont="1">
      <alignment horizontal="center" readingOrder="0" vertical="bottom"/>
    </xf>
    <xf borderId="66" fillId="0" fontId="2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horizontal="center" readingOrder="0"/>
    </xf>
    <xf borderId="69" fillId="25" fontId="6" numFmtId="0" xfId="0" applyAlignment="1" applyBorder="1" applyFont="1">
      <alignment horizontal="center" readingOrder="0" shrinkToFit="0" vertical="bottom" wrapText="1"/>
    </xf>
    <xf borderId="69" fillId="14" fontId="6" numFmtId="0" xfId="0" applyAlignment="1" applyBorder="1" applyFont="1">
      <alignment horizontal="center" shrinkToFit="0" vertical="bottom" wrapText="1"/>
    </xf>
    <xf borderId="18" fillId="14" fontId="23" numFmtId="0" xfId="0" applyAlignment="1" applyBorder="1" applyFont="1">
      <alignment horizontal="center" readingOrder="0"/>
    </xf>
    <xf borderId="27" fillId="6" fontId="6" numFmtId="0" xfId="0" applyAlignment="1" applyBorder="1" applyFont="1">
      <alignment horizontal="center" readingOrder="0" shrinkToFit="0" vertical="bottom" wrapText="1"/>
    </xf>
    <xf borderId="30" fillId="6" fontId="16" numFmtId="0" xfId="0" applyAlignment="1" applyBorder="1" applyFont="1">
      <alignment readingOrder="0"/>
    </xf>
    <xf borderId="6" fillId="0" fontId="19" numFmtId="164" xfId="0" applyAlignment="1" applyBorder="1" applyFont="1" applyNumberFormat="1">
      <alignment horizontal="center" readingOrder="0" vertical="center"/>
    </xf>
    <xf borderId="4" fillId="27" fontId="6" numFmtId="0" xfId="0" applyAlignment="1" applyBorder="1" applyFont="1">
      <alignment horizontal="center" readingOrder="0" vertical="bottom"/>
    </xf>
    <xf borderId="46" fillId="27" fontId="2" numFmtId="0" xfId="0" applyAlignment="1" applyBorder="1" applyFont="1">
      <alignment horizontal="center" readingOrder="0" vertical="bottom"/>
    </xf>
    <xf borderId="5" fillId="27" fontId="20" numFmtId="0" xfId="0" applyAlignment="1" applyBorder="1" applyFont="1">
      <alignment horizontal="center" readingOrder="0" shrinkToFit="0" vertical="center" wrapText="1"/>
    </xf>
    <xf borderId="5" fillId="27" fontId="19" numFmtId="0" xfId="0" applyAlignment="1" applyBorder="1" applyFont="1">
      <alignment horizontal="center" readingOrder="0" vertical="center"/>
    </xf>
    <xf borderId="5" fillId="27" fontId="7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center"/>
    </xf>
    <xf borderId="69" fillId="14" fontId="6" numFmtId="0" xfId="0" applyAlignment="1" applyBorder="1" applyFont="1">
      <alignment horizontal="center" shrinkToFit="0" vertical="bottom" wrapText="1"/>
    </xf>
    <xf borderId="7" fillId="14" fontId="7" numFmtId="0" xfId="0" applyAlignment="1" applyBorder="1" applyFont="1">
      <alignment horizontal="center" readingOrder="0" vertical="center"/>
    </xf>
    <xf borderId="66" fillId="6" fontId="2" numFmtId="0" xfId="0" applyAlignment="1" applyBorder="1" applyFont="1">
      <alignment horizontal="center" readingOrder="0" vertical="bottom"/>
    </xf>
    <xf borderId="18" fillId="6" fontId="23" numFmtId="0" xfId="0" applyAlignment="1" applyBorder="1" applyFont="1">
      <alignment horizontal="center" readingOrder="0"/>
    </xf>
    <xf borderId="69" fillId="9" fontId="6" numFmtId="0" xfId="0" applyAlignment="1" applyBorder="1" applyFont="1">
      <alignment horizontal="center" readingOrder="0" shrinkToFit="0" vertical="bottom" wrapText="1"/>
    </xf>
    <xf borderId="24" fillId="9" fontId="9" numFmtId="0" xfId="0" applyAlignment="1" applyBorder="1" applyFont="1">
      <alignment horizontal="center" readingOrder="0" vertical="bottom"/>
    </xf>
    <xf borderId="18" fillId="9" fontId="20" numFmtId="0" xfId="0" applyAlignment="1" applyBorder="1" applyFont="1">
      <alignment horizontal="center" readingOrder="0" shrinkToFit="0" vertical="center" wrapText="1"/>
    </xf>
    <xf borderId="27" fillId="25" fontId="6" numFmtId="0" xfId="0" applyAlignment="1" applyBorder="1" applyFont="1">
      <alignment horizontal="center" readingOrder="0" shrinkToFit="0" vertical="bottom" wrapText="1"/>
    </xf>
    <xf borderId="34" fillId="25" fontId="2" numFmtId="0" xfId="0" applyAlignment="1" applyBorder="1" applyFont="1">
      <alignment horizontal="center" readingOrder="0" vertical="bottom"/>
    </xf>
    <xf borderId="30" fillId="25" fontId="7" numFmtId="0" xfId="0" applyAlignment="1" applyBorder="1" applyFont="1">
      <alignment horizontal="center" readingOrder="0" vertical="center"/>
    </xf>
    <xf borderId="10" fillId="6" fontId="6" numFmtId="0" xfId="0" applyAlignment="1" applyBorder="1" applyFont="1">
      <alignment horizontal="center" shrinkToFit="0" vertical="bottom" wrapText="1"/>
    </xf>
    <xf borderId="13" fillId="6" fontId="2" numFmtId="0" xfId="0" applyAlignment="1" applyBorder="1" applyFont="1">
      <alignment horizontal="center" readingOrder="0" vertical="bottom"/>
    </xf>
    <xf borderId="7" fillId="6" fontId="16" numFmtId="0" xfId="0" applyAlignment="1" applyBorder="1" applyFont="1">
      <alignment horizontal="center" readingOrder="0"/>
    </xf>
    <xf borderId="66" fillId="9" fontId="2" numFmtId="0" xfId="0" applyAlignment="1" applyBorder="1" applyFont="1">
      <alignment horizontal="center" readingOrder="0" vertical="bottom"/>
    </xf>
    <xf borderId="66" fillId="7" fontId="2" numFmtId="0" xfId="0" applyAlignment="1" applyBorder="1" applyFont="1">
      <alignment horizontal="center" readingOrder="0" vertical="bottom"/>
    </xf>
    <xf borderId="65" fillId="25" fontId="2" numFmtId="0" xfId="0" applyAlignment="1" applyBorder="1" applyFont="1">
      <alignment horizontal="center" readingOrder="0" vertical="bottom"/>
    </xf>
    <xf borderId="24" fillId="24" fontId="6" numFmtId="0" xfId="0" applyAlignment="1" applyBorder="1" applyFont="1">
      <alignment horizontal="center" readingOrder="0" shrinkToFit="0" vertical="center" wrapText="1"/>
    </xf>
    <xf borderId="18" fillId="24" fontId="20" numFmtId="0" xfId="0" applyAlignment="1" applyBorder="1" applyFont="1">
      <alignment horizontal="center" readingOrder="0" vertical="center"/>
    </xf>
    <xf borderId="18" fillId="24" fontId="16" numFmtId="0" xfId="0" applyAlignment="1" applyBorder="1" applyFont="1">
      <alignment horizontal="center" readingOrder="0" vertical="center"/>
    </xf>
    <xf borderId="18" fillId="24" fontId="19" numFmtId="0" xfId="0" applyAlignment="1" applyBorder="1" applyFont="1">
      <alignment horizontal="center" readingOrder="0"/>
    </xf>
    <xf borderId="18" fillId="24" fontId="17" numFmtId="0" xfId="0" applyAlignment="1" applyBorder="1" applyFont="1">
      <alignment horizontal="center" vertical="center"/>
    </xf>
    <xf borderId="24" fillId="12" fontId="6" numFmtId="0" xfId="0" applyAlignment="1" applyBorder="1" applyFont="1">
      <alignment horizontal="center" readingOrder="0" shrinkToFit="0" vertical="center" wrapText="1"/>
    </xf>
    <xf borderId="18" fillId="12" fontId="20" numFmtId="0" xfId="0" applyAlignment="1" applyBorder="1" applyFont="1">
      <alignment horizontal="center" readingOrder="0" vertical="center"/>
    </xf>
    <xf borderId="18" fillId="12" fontId="19" numFmtId="0" xfId="0" applyAlignment="1" applyBorder="1" applyFont="1">
      <alignment horizontal="center" readingOrder="0"/>
    </xf>
    <xf borderId="34" fillId="29" fontId="6" numFmtId="0" xfId="0" applyAlignment="1" applyBorder="1" applyFill="1" applyFont="1">
      <alignment horizontal="center" readingOrder="0" shrinkToFit="0" vertical="center" wrapText="1"/>
    </xf>
    <xf borderId="30" fillId="29" fontId="20" numFmtId="0" xfId="0" applyAlignment="1" applyBorder="1" applyFont="1">
      <alignment horizontal="center" readingOrder="0" vertical="center"/>
    </xf>
    <xf borderId="30" fillId="29" fontId="5" numFmtId="0" xfId="0" applyBorder="1" applyFont="1"/>
    <xf borderId="30" fillId="29" fontId="19" numFmtId="0" xfId="0" applyAlignment="1" applyBorder="1" applyFont="1">
      <alignment horizontal="center" readingOrder="0"/>
    </xf>
    <xf borderId="30" fillId="29" fontId="17" numFmtId="0" xfId="0" applyAlignment="1" applyBorder="1" applyFont="1">
      <alignment horizontal="center" vertical="center"/>
    </xf>
    <xf borderId="4" fillId="27" fontId="33" numFmtId="0" xfId="0" applyAlignment="1" applyBorder="1" applyFont="1">
      <alignment horizontal="center" readingOrder="0" vertical="center"/>
    </xf>
    <xf borderId="5" fillId="27" fontId="34" numFmtId="0" xfId="0" applyAlignment="1" applyBorder="1" applyFont="1">
      <alignment horizontal="center" readingOrder="0" vertical="center"/>
    </xf>
    <xf borderId="5" fillId="27" fontId="34" numFmtId="0" xfId="0" applyAlignment="1" applyBorder="1" applyFont="1">
      <alignment horizontal="center" readingOrder="0" shrinkToFit="0" vertical="center" wrapText="1"/>
    </xf>
    <xf borderId="5" fillId="27" fontId="33" numFmtId="0" xfId="0" applyAlignment="1" applyBorder="1" applyFont="1">
      <alignment horizontal="center" readingOrder="0" vertical="center"/>
    </xf>
    <xf borderId="5" fillId="27" fontId="31" numFmtId="0" xfId="0" applyAlignment="1" applyBorder="1" applyFont="1">
      <alignment horizontal="center" readingOrder="0" vertical="center"/>
    </xf>
    <xf borderId="13" fillId="12" fontId="6" numFmtId="0" xfId="0" applyAlignment="1" applyBorder="1" applyFont="1">
      <alignment horizontal="center" readingOrder="0" shrinkToFit="0" vertical="center" wrapText="1"/>
    </xf>
    <xf borderId="7" fillId="12" fontId="20" numFmtId="0" xfId="0" applyAlignment="1" applyBorder="1" applyFont="1">
      <alignment horizontal="center" readingOrder="0" vertical="center"/>
    </xf>
    <xf borderId="7" fillId="12" fontId="5" numFmtId="0" xfId="0" applyBorder="1" applyFont="1"/>
    <xf borderId="7" fillId="12" fontId="19" numFmtId="0" xfId="0" applyAlignment="1" applyBorder="1" applyFont="1">
      <alignment horizontal="center" readingOrder="0"/>
    </xf>
    <xf borderId="7" fillId="12" fontId="17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readingOrder="0" vertical="center"/>
    </xf>
    <xf borderId="24" fillId="29" fontId="6" numFmtId="0" xfId="0" applyAlignment="1" applyBorder="1" applyFont="1">
      <alignment horizontal="center" readingOrder="0" shrinkToFit="0" vertical="center" wrapText="1"/>
    </xf>
    <xf borderId="18" fillId="29" fontId="20" numFmtId="0" xfId="0" applyAlignment="1" applyBorder="1" applyFont="1">
      <alignment horizontal="center" readingOrder="0" vertical="center"/>
    </xf>
    <xf borderId="18" fillId="29" fontId="5" numFmtId="0" xfId="0" applyBorder="1" applyFont="1"/>
    <xf borderId="18" fillId="29" fontId="19" numFmtId="0" xfId="0" applyAlignment="1" applyBorder="1" applyFont="1">
      <alignment horizontal="center" readingOrder="0"/>
    </xf>
    <xf borderId="18" fillId="29" fontId="17" numFmtId="0" xfId="0" applyAlignment="1" applyBorder="1" applyFont="1">
      <alignment horizontal="center" vertical="center"/>
    </xf>
    <xf borderId="34" fillId="30" fontId="6" numFmtId="0" xfId="0" applyAlignment="1" applyBorder="1" applyFill="1" applyFont="1">
      <alignment horizontal="center" readingOrder="0" shrinkToFit="0" vertical="center" wrapText="1"/>
    </xf>
    <xf borderId="30" fillId="30" fontId="20" numFmtId="0" xfId="0" applyAlignment="1" applyBorder="1" applyFont="1">
      <alignment horizontal="center" readingOrder="0" vertical="center"/>
    </xf>
    <xf borderId="30" fillId="30" fontId="5" numFmtId="0" xfId="0" applyBorder="1" applyFont="1"/>
    <xf borderId="30" fillId="30" fontId="19" numFmtId="0" xfId="0" applyAlignment="1" applyBorder="1" applyFont="1">
      <alignment horizontal="center" readingOrder="0"/>
    </xf>
    <xf borderId="30" fillId="30" fontId="17" numFmtId="0" xfId="0" applyAlignment="1" applyBorder="1" applyFont="1">
      <alignment horizontal="center" vertical="center"/>
    </xf>
    <xf borderId="27" fillId="26" fontId="6" numFmtId="0" xfId="0" applyAlignment="1" applyBorder="1" applyFont="1">
      <alignment horizontal="center" vertical="bottom"/>
    </xf>
    <xf borderId="65" fillId="26" fontId="2" numFmtId="0" xfId="0" applyAlignment="1" applyBorder="1" applyFont="1">
      <alignment horizontal="center" readingOrder="0" vertical="bottom"/>
    </xf>
    <xf borderId="30" fillId="26" fontId="20" numFmtId="0" xfId="0" applyAlignment="1" applyBorder="1" applyFont="1">
      <alignment horizontal="center" readingOrder="0" shrinkToFit="0" vertical="center" wrapText="1"/>
    </xf>
    <xf borderId="30" fillId="26" fontId="19" numFmtId="0" xfId="0" applyAlignment="1" applyBorder="1" applyFont="1">
      <alignment horizontal="center" readingOrder="0" vertical="center"/>
    </xf>
    <xf borderId="10" fillId="12" fontId="6" numFmtId="0" xfId="0" applyAlignment="1" applyBorder="1" applyFont="1">
      <alignment horizontal="center" shrinkToFit="0" vertical="bottom" wrapText="1"/>
    </xf>
    <xf borderId="13" fillId="12" fontId="2" numFmtId="0" xfId="0" applyAlignment="1" applyBorder="1" applyFont="1">
      <alignment horizontal="center" readingOrder="0" vertical="bottom"/>
    </xf>
    <xf borderId="7" fillId="12" fontId="16" numFmtId="0" xfId="0" applyAlignment="1" applyBorder="1" applyFont="1">
      <alignment horizontal="center" readingOrder="0"/>
    </xf>
    <xf borderId="69" fillId="29" fontId="6" numFmtId="0" xfId="0" applyAlignment="1" applyBorder="1" applyFont="1">
      <alignment horizontal="center" shrinkToFit="0" vertical="bottom" wrapText="1"/>
    </xf>
    <xf borderId="66" fillId="29" fontId="2" numFmtId="0" xfId="0" applyAlignment="1" applyBorder="1" applyFont="1">
      <alignment horizontal="center" readingOrder="0" vertical="bottom"/>
    </xf>
    <xf borderId="18" fillId="29" fontId="16" numFmtId="0" xfId="0" applyAlignment="1" applyBorder="1" applyFont="1">
      <alignment horizontal="center" readingOrder="0" vertical="center"/>
    </xf>
    <xf borderId="69" fillId="30" fontId="6" numFmtId="0" xfId="0" applyAlignment="1" applyBorder="1" applyFont="1">
      <alignment horizontal="center" shrinkToFit="0" vertical="bottom" wrapText="1"/>
    </xf>
    <xf borderId="66" fillId="30" fontId="2" numFmtId="0" xfId="0" applyAlignment="1" applyBorder="1" applyFont="1">
      <alignment horizontal="center" readingOrder="0" vertical="bottom"/>
    </xf>
    <xf borderId="18" fillId="30" fontId="5" numFmtId="0" xfId="0" applyBorder="1" applyFont="1"/>
    <xf borderId="18" fillId="30" fontId="19" numFmtId="0" xfId="0" applyAlignment="1" applyBorder="1" applyFont="1">
      <alignment horizontal="center" readingOrder="0"/>
    </xf>
    <xf borderId="18" fillId="30" fontId="17" numFmtId="0" xfId="0" applyAlignment="1" applyBorder="1" applyFont="1">
      <alignment horizontal="center" vertical="center"/>
    </xf>
    <xf borderId="27" fillId="26" fontId="6" numFmtId="0" xfId="0" applyAlignment="1" applyBorder="1" applyFont="1">
      <alignment horizontal="center" shrinkToFit="0" vertical="bottom" wrapText="1"/>
    </xf>
    <xf borderId="30" fillId="26" fontId="19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 vertical="center"/>
    </xf>
    <xf borderId="15" fillId="0" fontId="20" numFmtId="166" xfId="0" applyAlignment="1" applyBorder="1" applyFont="1" applyNumberFormat="1">
      <alignment horizontal="center" vertical="center"/>
    </xf>
    <xf borderId="16" fillId="0" fontId="35" numFmtId="0" xfId="0" applyAlignment="1" applyBorder="1" applyFont="1">
      <alignment horizontal="center" readingOrder="0" vertical="center"/>
    </xf>
    <xf borderId="17" fillId="0" fontId="19" numFmtId="164" xfId="0" applyAlignment="1" applyBorder="1" applyFont="1" applyNumberForma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17" fillId="0" fontId="19" numFmtId="166" xfId="0" applyAlignment="1" applyBorder="1" applyFont="1" applyNumberFormat="1">
      <alignment horizontal="center" readingOrder="0" vertical="center"/>
    </xf>
    <xf borderId="20" fillId="0" fontId="19" numFmtId="166" xfId="0" applyAlignment="1" applyBorder="1" applyFont="1" applyNumberFormat="1">
      <alignment horizontal="center" vertical="center"/>
    </xf>
    <xf borderId="26" fillId="0" fontId="20" numFmtId="166" xfId="0" applyAlignment="1" applyBorder="1" applyFont="1" applyNumberFormat="1">
      <alignment horizontal="center" vertical="center"/>
    </xf>
    <xf borderId="4" fillId="0" fontId="35" numFmtId="0" xfId="0" applyAlignment="1" applyBorder="1" applyFont="1">
      <alignment horizontal="center" readingOrder="0" vertical="center"/>
    </xf>
    <xf borderId="48" fillId="0" fontId="20" numFmtId="166" xfId="0" applyAlignment="1" applyBorder="1" applyFont="1" applyNumberFormat="1">
      <alignment horizontal="center"/>
    </xf>
    <xf borderId="1" fillId="0" fontId="35" numFmtId="0" xfId="0" applyAlignment="1" applyBorder="1" applyFont="1">
      <alignment horizontal="center" readingOrder="0" shrinkToFit="0" vertical="center" wrapText="1"/>
    </xf>
    <xf borderId="77" fillId="0" fontId="19" numFmtId="0" xfId="0" applyAlignment="1" applyBorder="1" applyFont="1">
      <alignment horizontal="center" readingOrder="0" vertical="center"/>
    </xf>
    <xf borderId="3" fillId="0" fontId="20" numFmtId="166" xfId="0" applyAlignment="1" applyBorder="1" applyFont="1" applyNumberFormat="1">
      <alignment horizontal="center"/>
    </xf>
    <xf borderId="0" fillId="0" fontId="19" numFmtId="172" xfId="0" applyAlignment="1" applyFont="1" applyNumberFormat="1">
      <alignment horizontal="center"/>
    </xf>
    <xf borderId="0" fillId="0" fontId="32" numFmtId="0" xfId="0" applyAlignment="1" applyFont="1">
      <alignment horizontal="center" readingOrder="0"/>
    </xf>
    <xf borderId="27" fillId="31" fontId="6" numFmtId="0" xfId="0" applyAlignment="1" applyBorder="1" applyFill="1" applyFont="1">
      <alignment horizontal="center" readingOrder="0" shrinkToFit="0" vertical="center" wrapText="1"/>
    </xf>
    <xf borderId="30" fillId="31" fontId="20" numFmtId="0" xfId="0" applyAlignment="1" applyBorder="1" applyFont="1">
      <alignment horizontal="center" readingOrder="0" vertical="center"/>
    </xf>
    <xf borderId="30" fillId="31" fontId="5" numFmtId="0" xfId="0" applyBorder="1" applyFont="1"/>
    <xf borderId="30" fillId="31" fontId="19" numFmtId="0" xfId="0" applyAlignment="1" applyBorder="1" applyFont="1">
      <alignment horizontal="center" readingOrder="0"/>
    </xf>
    <xf borderId="30" fillId="31" fontId="17" numFmtId="0" xfId="0" applyAlignment="1" applyBorder="1" applyFont="1">
      <alignment horizontal="center" vertical="center"/>
    </xf>
    <xf borderId="10" fillId="5" fontId="6" numFmtId="0" xfId="0" applyAlignment="1" applyBorder="1" applyFont="1">
      <alignment horizontal="center" shrinkToFit="0" vertical="bottom" wrapText="1"/>
    </xf>
    <xf borderId="69" fillId="6" fontId="6" numFmtId="0" xfId="0" applyAlignment="1" applyBorder="1" applyFont="1">
      <alignment horizontal="center" shrinkToFit="0" vertical="bottom" wrapText="1"/>
    </xf>
    <xf borderId="69" fillId="31" fontId="6" numFmtId="0" xfId="0" applyAlignment="1" applyBorder="1" applyFont="1">
      <alignment horizontal="center" readingOrder="0" shrinkToFit="0" vertical="bottom" wrapText="1"/>
    </xf>
    <xf borderId="18" fillId="31" fontId="20" numFmtId="0" xfId="0" applyAlignment="1" applyBorder="1" applyFont="1">
      <alignment horizontal="center" readingOrder="0" vertical="center"/>
    </xf>
    <xf borderId="18" fillId="31" fontId="5" numFmtId="0" xfId="0" applyBorder="1" applyFont="1"/>
    <xf borderId="18" fillId="31" fontId="19" numFmtId="0" xfId="0" applyAlignment="1" applyBorder="1" applyFont="1">
      <alignment horizontal="center" readingOrder="0"/>
    </xf>
    <xf borderId="18" fillId="31" fontId="17" numFmtId="0" xfId="0" applyAlignment="1" applyBorder="1" applyFont="1">
      <alignment horizontal="center" vertical="center"/>
    </xf>
    <xf borderId="27" fillId="10" fontId="6" numFmtId="0" xfId="0" applyAlignment="1" applyBorder="1" applyFont="1">
      <alignment horizontal="center" readingOrder="0" shrinkToFit="0" vertical="bottom" wrapText="1"/>
    </xf>
    <xf borderId="16" fillId="9" fontId="6" numFmtId="0" xfId="0" applyAlignment="1" applyBorder="1" applyFont="1">
      <alignment horizontal="center" readingOrder="0" vertical="center"/>
    </xf>
    <xf borderId="53" fillId="9" fontId="20" numFmtId="0" xfId="0" applyAlignment="1" applyBorder="1" applyFont="1">
      <alignment horizontal="center" readingOrder="0" vertical="center"/>
    </xf>
    <xf borderId="2" fillId="9" fontId="20" numFmtId="0" xfId="0" applyAlignment="1" applyBorder="1" applyFont="1">
      <alignment horizontal="center" readingOrder="0" shrinkToFit="0" vertical="center" wrapText="1"/>
    </xf>
    <xf borderId="2" fillId="9" fontId="19" numFmtId="0" xfId="0" applyAlignment="1" applyBorder="1" applyFont="1">
      <alignment horizontal="center" readingOrder="0" vertical="center"/>
    </xf>
    <xf borderId="2" fillId="9" fontId="17" numFmtId="0" xfId="0" applyAlignment="1" applyBorder="1" applyFont="1">
      <alignment horizontal="center" vertical="center"/>
    </xf>
    <xf borderId="69" fillId="5" fontId="6" numFmtId="0" xfId="0" applyAlignment="1" applyBorder="1" applyFont="1">
      <alignment horizontal="center" shrinkToFit="0" vertical="bottom" wrapText="1"/>
    </xf>
    <xf borderId="69" fillId="9" fontId="6" numFmtId="0" xfId="0" applyAlignment="1" applyBorder="1" applyFont="1">
      <alignment horizontal="center" shrinkToFit="0" vertical="bottom" wrapText="1"/>
    </xf>
    <xf borderId="27" fillId="0" fontId="6" numFmtId="0" xfId="0" applyAlignment="1" applyBorder="1" applyFont="1">
      <alignment horizontal="center" shrinkToFit="0" vertical="bottom" wrapText="1"/>
    </xf>
    <xf borderId="27" fillId="31" fontId="6" numFmtId="0" xfId="0" applyAlignment="1" applyBorder="1" applyFont="1">
      <alignment horizontal="center" readingOrder="0" shrinkToFit="0" vertical="bottom" wrapText="1"/>
    </xf>
    <xf borderId="69" fillId="10" fontId="6" numFmtId="0" xfId="0" applyAlignment="1" applyBorder="1" applyFont="1">
      <alignment horizontal="center" readingOrder="0" shrinkToFit="0" vertical="bottom" wrapText="1"/>
    </xf>
    <xf borderId="27" fillId="15" fontId="6" numFmtId="0" xfId="0" applyAlignment="1" applyBorder="1" applyFont="1">
      <alignment horizontal="center" readingOrder="0" shrinkToFit="0" vertical="bottom" wrapText="1"/>
    </xf>
    <xf borderId="41" fillId="3" fontId="6" numFmtId="0" xfId="0" applyAlignment="1" applyBorder="1" applyFont="1">
      <alignment horizontal="center" readingOrder="0" vertical="bottom"/>
    </xf>
    <xf borderId="69" fillId="14" fontId="6" numFmtId="0" xfId="0" applyAlignment="1" applyBorder="1" applyFont="1">
      <alignment horizontal="center" vertical="bottom"/>
    </xf>
    <xf borderId="2" fillId="0" fontId="20" numFmtId="0" xfId="0" applyAlignment="1" applyBorder="1" applyFont="1">
      <alignment horizontal="center" readingOrder="0" shrinkToFit="0" vertical="center" wrapText="1"/>
    </xf>
    <xf borderId="27" fillId="31" fontId="6" numFmtId="0" xfId="0" applyAlignment="1" applyBorder="1" applyFont="1">
      <alignment horizontal="center" vertical="bottom"/>
    </xf>
    <xf borderId="30" fillId="31" fontId="19" numFmtId="0" xfId="0" applyAlignment="1" applyBorder="1" applyFont="1">
      <alignment horizontal="center" readingOrder="0" vertical="center"/>
    </xf>
    <xf borderId="7" fillId="14" fontId="16" numFmtId="0" xfId="0" applyAlignment="1" applyBorder="1" applyFont="1">
      <alignment horizontal="center" readingOrder="0"/>
    </xf>
    <xf borderId="69" fillId="7" fontId="6" numFmtId="0" xfId="0" applyAlignment="1" applyBorder="1" applyFont="1">
      <alignment horizontal="center" shrinkToFit="0" vertical="bottom" wrapText="1"/>
    </xf>
    <xf borderId="27" fillId="3" fontId="6" numFmtId="0" xfId="0" applyAlignment="1" applyBorder="1" applyFont="1">
      <alignment horizontal="center" shrinkToFit="0" vertical="bottom" wrapText="1"/>
    </xf>
    <xf borderId="1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13" fillId="9" fontId="6" numFmtId="0" xfId="0" applyAlignment="1" applyBorder="1" applyFont="1">
      <alignment horizontal="center" readingOrder="0" vertical="bottom"/>
    </xf>
    <xf borderId="24" fillId="0" fontId="6" numFmtId="0" xfId="0" applyAlignment="1" applyBorder="1" applyFont="1">
      <alignment horizontal="center" readingOrder="0" vertical="bottom"/>
    </xf>
    <xf borderId="18" fillId="0" fontId="20" numFmtId="0" xfId="0" applyAlignment="1" applyBorder="1" applyFont="1">
      <alignment horizontal="center" readingOrder="0" shrinkToFit="0" vertical="center" wrapText="1"/>
    </xf>
    <xf borderId="24" fillId="27" fontId="6" numFmtId="0" xfId="0" applyAlignment="1" applyBorder="1" applyFont="1">
      <alignment horizontal="center" readingOrder="0" vertical="bottom"/>
    </xf>
    <xf borderId="18" fillId="27" fontId="20" numFmtId="0" xfId="0" applyAlignment="1" applyBorder="1" applyFont="1">
      <alignment horizontal="center" readingOrder="0" vertical="center"/>
    </xf>
    <xf borderId="18" fillId="27" fontId="20" numFmtId="0" xfId="0" applyAlignment="1" applyBorder="1" applyFont="1">
      <alignment horizontal="center" readingOrder="0" shrinkToFit="0" vertical="center" wrapText="1"/>
    </xf>
    <xf borderId="18" fillId="27" fontId="19" numFmtId="0" xfId="0" applyAlignment="1" applyBorder="1" applyFont="1">
      <alignment horizontal="center" readingOrder="0" vertical="center"/>
    </xf>
    <xf borderId="18" fillId="27" fontId="17" numFmtId="0" xfId="0" applyAlignment="1" applyBorder="1" applyFont="1">
      <alignment horizontal="center" vertical="center"/>
    </xf>
    <xf borderId="24" fillId="31" fontId="6" numFmtId="0" xfId="0" applyAlignment="1" applyBorder="1" applyFont="1">
      <alignment horizontal="center" readingOrder="0" vertical="bottom"/>
    </xf>
    <xf borderId="18" fillId="31" fontId="20" numFmtId="0" xfId="0" applyAlignment="1" applyBorder="1" applyFont="1">
      <alignment horizontal="center" readingOrder="0" shrinkToFit="0" vertical="center" wrapText="1"/>
    </xf>
    <xf borderId="18" fillId="31" fontId="19" numFmtId="0" xfId="0" applyAlignment="1" applyBorder="1" applyFont="1">
      <alignment horizontal="center" readingOrder="0" vertical="center"/>
    </xf>
    <xf borderId="24" fillId="14" fontId="6" numFmtId="0" xfId="0" applyAlignment="1" applyBorder="1" applyFont="1">
      <alignment horizontal="center" readingOrder="0" vertical="bottom"/>
    </xf>
    <xf borderId="18" fillId="14" fontId="20" numFmtId="0" xfId="0" applyAlignment="1" applyBorder="1" applyFont="1">
      <alignment horizontal="center" readingOrder="0" shrinkToFit="0" vertical="center" wrapText="1"/>
    </xf>
    <xf borderId="18" fillId="14" fontId="19" numFmtId="0" xfId="0" applyAlignment="1" applyBorder="1" applyFont="1">
      <alignment horizontal="center" readingOrder="0" vertical="center"/>
    </xf>
    <xf borderId="49" fillId="0" fontId="19" numFmtId="164" xfId="0" applyAlignment="1" applyBorder="1" applyFont="1" applyNumberFormat="1">
      <alignment horizontal="center" readingOrder="0" vertical="center"/>
    </xf>
    <xf borderId="67" fillId="14" fontId="20" numFmtId="0" xfId="0" applyAlignment="1" applyBorder="1" applyFont="1">
      <alignment horizontal="center" readingOrder="0" vertical="center"/>
    </xf>
    <xf borderId="67" fillId="14" fontId="20" numFmtId="0" xfId="0" applyAlignment="1" applyBorder="1" applyFont="1">
      <alignment horizontal="center" readingOrder="0" shrinkToFit="0" vertical="center" wrapText="1"/>
    </xf>
    <xf borderId="67" fillId="14" fontId="19" numFmtId="0" xfId="0" applyAlignment="1" applyBorder="1" applyFont="1">
      <alignment horizontal="center" readingOrder="0" vertical="center"/>
    </xf>
    <xf borderId="67" fillId="14" fontId="17" numFmtId="0" xfId="0" applyAlignment="1" applyBorder="1" applyFont="1">
      <alignment horizontal="center" vertical="center"/>
    </xf>
    <xf borderId="49" fillId="0" fontId="20" numFmtId="0" xfId="0" applyAlignment="1" applyBorder="1" applyFont="1">
      <alignment horizontal="center" readingOrder="0" vertical="center"/>
    </xf>
    <xf borderId="29" fillId="6" fontId="6" numFmtId="0" xfId="0" applyAlignment="1" applyBorder="1" applyFont="1">
      <alignment horizontal="center" vertical="bottom"/>
    </xf>
    <xf borderId="27" fillId="10" fontId="6" numFmtId="0" xfId="0" applyAlignment="1" applyBorder="1" applyFont="1">
      <alignment horizontal="center" shrinkToFit="0" vertical="bottom" wrapText="1"/>
    </xf>
    <xf borderId="59" fillId="0" fontId="19" numFmtId="0" xfId="0" applyAlignment="1" applyBorder="1" applyFont="1">
      <alignment horizontal="center" readingOrder="0" vertical="center"/>
    </xf>
    <xf borderId="15" fillId="0" fontId="19" numFmtId="164" xfId="0" applyAlignment="1" applyBorder="1" applyFont="1" applyNumberFormat="1">
      <alignment horizontal="center" readingOrder="0" vertical="center"/>
    </xf>
    <xf borderId="10" fillId="14" fontId="6" numFmtId="0" xfId="0" applyAlignment="1" applyBorder="1" applyFont="1">
      <alignment horizontal="center" shrinkToFit="0" vertical="bottom" wrapText="1"/>
    </xf>
    <xf borderId="21" fillId="0" fontId="6" numFmtId="0" xfId="0" applyAlignment="1" applyBorder="1" applyFont="1">
      <alignment horizontal="center" shrinkToFit="0" vertical="bottom" wrapText="1"/>
    </xf>
    <xf borderId="18" fillId="0" fontId="16" numFmtId="0" xfId="0" applyAlignment="1" applyBorder="1" applyFont="1">
      <alignment horizontal="center" readingOrder="0"/>
    </xf>
    <xf borderId="21" fillId="9" fontId="6" numFmtId="0" xfId="0" applyAlignment="1" applyBorder="1" applyFont="1">
      <alignment horizontal="center" readingOrder="0" shrinkToFit="0" vertical="bottom" wrapText="1"/>
    </xf>
    <xf borderId="52" fillId="15" fontId="6" numFmtId="0" xfId="0" applyAlignment="1" applyBorder="1" applyFont="1">
      <alignment horizontal="center" readingOrder="0" shrinkToFit="0" vertical="bottom" wrapText="1"/>
    </xf>
    <xf borderId="53" fillId="15" fontId="20" numFmtId="0" xfId="0" applyAlignment="1" applyBorder="1" applyFont="1">
      <alignment horizontal="center" readingOrder="0" vertical="center"/>
    </xf>
    <xf borderId="53" fillId="15" fontId="5" numFmtId="0" xfId="0" applyBorder="1" applyFont="1"/>
    <xf borderId="53" fillId="15" fontId="19" numFmtId="0" xfId="0" applyAlignment="1" applyBorder="1" applyFont="1">
      <alignment horizontal="center" readingOrder="0"/>
    </xf>
    <xf borderId="53" fillId="15" fontId="17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readingOrder="0" shrinkToFit="0" vertical="bottom" wrapText="1"/>
    </xf>
    <xf borderId="5" fillId="6" fontId="16" numFmtId="0" xfId="0" applyAlignment="1" applyBorder="1" applyFont="1">
      <alignment horizontal="center" readingOrder="0"/>
    </xf>
    <xf borderId="5" fillId="6" fontId="31" numFmtId="0" xfId="0" applyAlignment="1" applyBorder="1" applyFont="1">
      <alignment horizontal="center" readingOrder="0" vertical="center"/>
    </xf>
    <xf borderId="69" fillId="6" fontId="6" numFmtId="0" xfId="0" applyAlignment="1" applyBorder="1" applyFont="1">
      <alignment horizontal="center" readingOrder="0" shrinkToFit="0" vertical="bottom" wrapText="1"/>
    </xf>
    <xf borderId="27" fillId="32" fontId="6" numFmtId="0" xfId="0" applyAlignment="1" applyBorder="1" applyFill="1" applyFont="1">
      <alignment horizontal="center" readingOrder="0" shrinkToFit="0" vertical="bottom" wrapText="1"/>
    </xf>
    <xf borderId="30" fillId="32" fontId="20" numFmtId="0" xfId="0" applyAlignment="1" applyBorder="1" applyFont="1">
      <alignment horizontal="center" readingOrder="0" vertical="center"/>
    </xf>
    <xf borderId="30" fillId="32" fontId="5" numFmtId="0" xfId="0" applyBorder="1" applyFont="1"/>
    <xf borderId="30" fillId="32" fontId="19" numFmtId="0" xfId="0" applyAlignment="1" applyBorder="1" applyFont="1">
      <alignment horizontal="center" readingOrder="0"/>
    </xf>
    <xf borderId="30" fillId="32" fontId="17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readingOrder="0"/>
    </xf>
    <xf borderId="7" fillId="5" fontId="2" numFmtId="0" xfId="0" applyAlignment="1" applyBorder="1" applyFont="1">
      <alignment horizontal="center" vertical="bottom"/>
    </xf>
    <xf borderId="18" fillId="6" fontId="2" numFmtId="0" xfId="0" applyAlignment="1" applyBorder="1" applyFont="1">
      <alignment horizontal="center" vertical="bottom"/>
    </xf>
    <xf borderId="18" fillId="31" fontId="2" numFmtId="0" xfId="0" applyAlignment="1" applyBorder="1" applyFont="1">
      <alignment horizontal="center" vertical="bottom"/>
    </xf>
    <xf borderId="27" fillId="9" fontId="6" numFmtId="0" xfId="0" applyAlignment="1" applyBorder="1" applyFont="1">
      <alignment horizontal="center" readingOrder="0" shrinkToFit="0" vertical="bottom" wrapText="1"/>
    </xf>
    <xf borderId="30" fillId="9" fontId="2" numFmtId="0" xfId="0" applyAlignment="1" applyBorder="1" applyFont="1">
      <alignment horizontal="center" vertical="bottom"/>
    </xf>
    <xf borderId="30" fillId="9" fontId="5" numFmtId="0" xfId="0" applyBorder="1" applyFont="1"/>
    <xf borderId="30" fillId="9" fontId="17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readingOrder="0" shrinkToFit="0" vertical="bottom" wrapText="1"/>
    </xf>
    <xf borderId="7" fillId="3" fontId="2" numFmtId="0" xfId="0" applyAlignment="1" applyBorder="1" applyFont="1">
      <alignment horizontal="center" vertical="bottom"/>
    </xf>
    <xf borderId="16" fillId="9" fontId="6" numFmtId="0" xfId="0" applyAlignment="1" applyBorder="1" applyFont="1">
      <alignment horizontal="center" readingOrder="0" shrinkToFit="0" vertical="bottom" wrapText="1"/>
    </xf>
    <xf borderId="53" fillId="9" fontId="2" numFmtId="0" xfId="0" applyAlignment="1" applyBorder="1" applyFont="1">
      <alignment horizontal="center" vertical="bottom"/>
    </xf>
    <xf borderId="53" fillId="9" fontId="16" numFmtId="0" xfId="0" applyAlignment="1" applyBorder="1" applyFont="1">
      <alignment horizontal="center" readingOrder="0" vertical="center"/>
    </xf>
    <xf borderId="53" fillId="9" fontId="19" numFmtId="0" xfId="0" applyAlignment="1" applyBorder="1" applyFont="1">
      <alignment horizontal="center" readingOrder="0"/>
    </xf>
    <xf borderId="53" fillId="9" fontId="17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readingOrder="0" shrinkToFit="0" vertical="bottom" wrapText="1"/>
    </xf>
    <xf borderId="5" fillId="5" fontId="2" numFmtId="0" xfId="0" applyAlignment="1" applyBorder="1" applyFont="1">
      <alignment horizontal="center" vertical="bottom"/>
    </xf>
    <xf borderId="5" fillId="5" fontId="20" numFmtId="0" xfId="0" applyAlignment="1" applyBorder="1" applyFont="1">
      <alignment horizontal="center" readingOrder="0" vertical="center"/>
    </xf>
    <xf borderId="5" fillId="5" fontId="19" numFmtId="0" xfId="0" applyAlignment="1" applyBorder="1" applyFont="1">
      <alignment horizontal="center" readingOrder="0"/>
    </xf>
    <xf borderId="5" fillId="5" fontId="17" numFmtId="0" xfId="0" applyAlignment="1" applyBorder="1" applyFont="1">
      <alignment horizontal="center" vertical="center"/>
    </xf>
    <xf borderId="69" fillId="3" fontId="6" numFmtId="0" xfId="0" applyAlignment="1" applyBorder="1" applyFont="1">
      <alignment horizontal="center" shrinkToFit="0" vertical="bottom" wrapText="1"/>
    </xf>
    <xf borderId="18" fillId="3" fontId="2" numFmtId="0" xfId="0" applyAlignment="1" applyBorder="1" applyFont="1">
      <alignment horizontal="center" vertical="bottom"/>
    </xf>
    <xf borderId="18" fillId="9" fontId="2" numFmtId="0" xfId="0" applyAlignment="1" applyBorder="1" applyFont="1">
      <alignment horizontal="center" vertical="bottom"/>
    </xf>
    <xf borderId="27" fillId="3" fontId="6" numFmtId="0" xfId="0" applyAlignment="1" applyBorder="1" applyFont="1">
      <alignment horizontal="center" readingOrder="0" shrinkToFit="0" vertical="bottom" wrapText="1"/>
    </xf>
    <xf borderId="30" fillId="3" fontId="2" numFmtId="0" xfId="0" applyAlignment="1" applyBorder="1" applyFont="1">
      <alignment horizontal="center" vertical="bottom"/>
    </xf>
    <xf borderId="18" fillId="31" fontId="16" numFmtId="0" xfId="0" applyAlignment="1" applyBorder="1" applyFont="1">
      <alignment horizontal="center" readingOrder="0"/>
    </xf>
    <xf borderId="30" fillId="10" fontId="2" numFmtId="0" xfId="0" applyAlignment="1" applyBorder="1" applyFont="1">
      <alignment horizontal="center" vertical="bottom"/>
    </xf>
    <xf borderId="69" fillId="31" fontId="6" numFmtId="0" xfId="0" applyAlignment="1" applyBorder="1" applyFont="1">
      <alignment horizontal="center" shrinkToFit="0" vertical="bottom" wrapText="1"/>
    </xf>
    <xf borderId="7" fillId="31" fontId="2" numFmtId="0" xfId="0" applyAlignment="1" applyBorder="1" applyFont="1">
      <alignment horizontal="center" vertical="bottom"/>
    </xf>
    <xf borderId="7" fillId="31" fontId="16" numFmtId="0" xfId="0" applyAlignment="1" applyBorder="1" applyFont="1">
      <alignment horizontal="center" readingOrder="0"/>
    </xf>
    <xf borderId="7" fillId="31" fontId="19" numFmtId="0" xfId="0" applyAlignment="1" applyBorder="1" applyFont="1">
      <alignment horizontal="center" readingOrder="0"/>
    </xf>
    <xf borderId="7" fillId="31" fontId="17" numFmtId="0" xfId="0" applyAlignment="1" applyBorder="1" applyFont="1">
      <alignment horizontal="center" vertical="center"/>
    </xf>
    <xf borderId="69" fillId="3" fontId="6" numFmtId="0" xfId="0" applyAlignment="1" applyBorder="1" applyFont="1">
      <alignment horizontal="center" readingOrder="0" shrinkToFit="0" vertical="bottom" wrapText="1"/>
    </xf>
    <xf borderId="18" fillId="10" fontId="2" numFmtId="0" xfId="0" applyAlignment="1" applyBorder="1" applyFont="1">
      <alignment horizontal="center" vertical="bottom"/>
    </xf>
    <xf borderId="30" fillId="31" fontId="2" numFmtId="0" xfId="0" applyAlignment="1" applyBorder="1" applyFont="1">
      <alignment horizontal="center" vertical="bottom"/>
    </xf>
    <xf borderId="7" fillId="9" fontId="16" numFmtId="0" xfId="0" applyAlignment="1" applyBorder="1" applyFont="1">
      <alignment horizontal="center" readingOrder="0"/>
    </xf>
    <xf borderId="7" fillId="9" fontId="19" numFmtId="0" xfId="0" applyAlignment="1" applyBorder="1" applyFont="1">
      <alignment horizontal="center" readingOrder="0"/>
    </xf>
    <xf borderId="69" fillId="9" fontId="6" numFmtId="0" xfId="0" applyAlignment="1" applyBorder="1" applyFont="1">
      <alignment horizontal="center" vertical="bottom"/>
    </xf>
    <xf borderId="27" fillId="15" fontId="6" numFmtId="0" xfId="0" applyAlignment="1" applyBorder="1" applyFont="1">
      <alignment horizontal="center" vertical="bottom"/>
    </xf>
    <xf borderId="30" fillId="15" fontId="19" numFmtId="0" xfId="0" applyAlignment="1" applyBorder="1" applyFont="1">
      <alignment horizontal="center" readingOrder="0" vertical="center"/>
    </xf>
    <xf borderId="69" fillId="15" fontId="6" numFmtId="0" xfId="0" applyAlignment="1" applyBorder="1" applyFont="1">
      <alignment horizontal="center" readingOrder="0" shrinkToFit="0" vertical="bottom" wrapText="1"/>
    </xf>
    <xf borderId="18" fillId="15" fontId="2" numFmtId="0" xfId="0" applyAlignment="1" applyBorder="1" applyFont="1">
      <alignment horizontal="center" readingOrder="0" vertical="bottom"/>
    </xf>
    <xf borderId="18" fillId="15" fontId="16" numFmtId="0" xfId="0" applyAlignment="1" applyBorder="1" applyFont="1">
      <alignment horizontal="center" readingOrder="0"/>
    </xf>
    <xf borderId="18" fillId="15" fontId="19" numFmtId="0" xfId="0" applyAlignment="1" applyBorder="1" applyFont="1">
      <alignment horizontal="center" readingOrder="0"/>
    </xf>
    <xf borderId="69" fillId="8" fontId="6" numFmtId="0" xfId="0" applyAlignment="1" applyBorder="1" applyFont="1">
      <alignment horizontal="center" readingOrder="0" shrinkToFit="0" vertical="bottom" wrapText="1"/>
    </xf>
    <xf borderId="18" fillId="8" fontId="2" numFmtId="0" xfId="0" applyAlignment="1" applyBorder="1" applyFont="1">
      <alignment horizontal="center" readingOrder="0" vertical="bottom"/>
    </xf>
    <xf borderId="30" fillId="3" fontId="2" numFmtId="0" xfId="0" applyAlignment="1" applyBorder="1" applyFont="1">
      <alignment horizontal="center" readingOrder="0" vertical="bottom"/>
    </xf>
    <xf borderId="18" fillId="7" fontId="2" numFmtId="0" xfId="0" applyAlignment="1" applyBorder="1" applyFont="1">
      <alignment horizontal="center" readingOrder="0" vertical="bottom"/>
    </xf>
    <xf borderId="30" fillId="9" fontId="2" numFmtId="0" xfId="0" applyAlignment="1" applyBorder="1" applyFont="1">
      <alignment horizontal="center" readingOrder="0" vertical="bottom"/>
    </xf>
    <xf borderId="7" fillId="6" fontId="2" numFmtId="0" xfId="0" applyAlignment="1" applyBorder="1" applyFont="1">
      <alignment horizontal="center" readingOrder="0" vertical="bottom"/>
    </xf>
    <xf borderId="18" fillId="9" fontId="2" numFmtId="0" xfId="0" applyAlignment="1" applyBorder="1" applyFont="1">
      <alignment horizontal="center" readingOrder="0" vertical="bottom"/>
    </xf>
    <xf borderId="40" fillId="4" fontId="20" numFmtId="0" xfId="0" applyAlignment="1" applyBorder="1" applyFont="1">
      <alignment horizontal="center" readingOrder="0" vertical="center"/>
    </xf>
    <xf borderId="18" fillId="0" fontId="19" numFmtId="3" xfId="0" applyAlignment="1" applyBorder="1" applyFont="1" applyNumberFormat="1">
      <alignment horizontal="center" readingOrder="0"/>
    </xf>
    <xf borderId="15" fillId="0" fontId="20" numFmtId="3" xfId="0" applyAlignment="1" applyBorder="1" applyFont="1" applyNumberFormat="1">
      <alignment horizontal="center" vertical="center"/>
    </xf>
    <xf borderId="53" fillId="0" fontId="19" numFmtId="3" xfId="0" applyAlignment="1" applyBorder="1" applyFont="1" applyNumberFormat="1">
      <alignment horizontal="center" readingOrder="0"/>
    </xf>
    <xf borderId="7" fillId="0" fontId="19" numFmtId="3" xfId="0" applyAlignment="1" applyBorder="1" applyFont="1" applyNumberFormat="1">
      <alignment horizontal="center" readingOrder="0"/>
    </xf>
    <xf borderId="26" fillId="0" fontId="20" numFmtId="3" xfId="0" applyAlignment="1" applyBorder="1" applyFont="1" applyNumberFormat="1">
      <alignment horizontal="center" vertical="center"/>
    </xf>
    <xf borderId="18" fillId="0" fontId="19" numFmtId="3" xfId="0" applyAlignment="1" applyBorder="1" applyFont="1" applyNumberFormat="1">
      <alignment horizontal="center" readingOrder="0" vertical="center"/>
    </xf>
    <xf borderId="53" fillId="0" fontId="19" numFmtId="164" xfId="0" applyAlignment="1" applyBorder="1" applyFont="1" applyNumberFormat="1">
      <alignment horizontal="center" readingOrder="0"/>
    </xf>
    <xf borderId="53" fillId="0" fontId="19" numFmtId="0" xfId="0" applyAlignment="1" applyBorder="1" applyFont="1">
      <alignment horizontal="center" readingOrder="0"/>
    </xf>
    <xf borderId="7" fillId="0" fontId="19" numFmtId="164" xfId="0" applyAlignment="1" applyBorder="1" applyFont="1" applyNumberFormat="1">
      <alignment horizontal="center" readingOrder="0"/>
    </xf>
    <xf borderId="2" fillId="0" fontId="19" numFmtId="164" xfId="0" applyAlignment="1" applyBorder="1" applyFont="1" applyNumberFormat="1">
      <alignment horizontal="center" readingOrder="0" vertical="center"/>
    </xf>
    <xf borderId="2" fillId="0" fontId="19" numFmtId="0" xfId="0" applyAlignment="1" applyBorder="1" applyFont="1">
      <alignment horizontal="center" readingOrder="0" vertical="center"/>
    </xf>
    <xf borderId="2" fillId="0" fontId="19" numFmtId="3" xfId="0" applyAlignment="1" applyBorder="1" applyFont="1" applyNumberFormat="1">
      <alignment horizontal="center" readingOrder="0" vertical="center"/>
    </xf>
    <xf borderId="9" fillId="0" fontId="19" numFmtId="3" xfId="0" applyAlignment="1" applyBorder="1" applyFont="1" applyNumberForma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8" fillId="0" fontId="20" numFmtId="3" xfId="0" applyAlignment="1" applyBorder="1" applyFont="1" applyNumberFormat="1">
      <alignment horizontal="center" vertical="center"/>
    </xf>
    <xf borderId="10" fillId="5" fontId="6" numFmtId="0" xfId="0" applyAlignment="1" applyBorder="1" applyFont="1">
      <alignment horizontal="center" readingOrder="0" vertical="center"/>
    </xf>
    <xf borderId="38" fillId="0" fontId="20" numFmtId="0" xfId="0" applyAlignment="1" applyBorder="1" applyFont="1">
      <alignment horizontal="center" readingOrder="0" vertical="center"/>
    </xf>
    <xf borderId="29" fillId="6" fontId="6" numFmtId="0" xfId="0" applyAlignment="1" applyBorder="1" applyFont="1">
      <alignment horizontal="center" readingOrder="0" vertical="center"/>
    </xf>
    <xf borderId="69" fillId="10" fontId="6" numFmtId="0" xfId="0" applyAlignment="1" applyBorder="1" applyFont="1">
      <alignment horizontal="center" shrinkToFit="0" vertical="bottom" wrapText="1"/>
    </xf>
    <xf borderId="27" fillId="15" fontId="6" numFmtId="0" xfId="0" applyAlignment="1" applyBorder="1" applyFont="1">
      <alignment horizontal="center" shrinkToFit="0" vertical="bottom" wrapText="1"/>
    </xf>
    <xf borderId="7" fillId="9" fontId="5" numFmtId="0" xfId="0" applyBorder="1" applyFont="1"/>
    <xf borderId="18" fillId="15" fontId="16" numFmtId="0" xfId="0" applyAlignment="1" applyBorder="1" applyFont="1">
      <alignment horizontal="center" readingOrder="0" vertical="center"/>
    </xf>
    <xf borderId="29" fillId="31" fontId="6" numFmtId="0" xfId="0" applyAlignment="1" applyBorder="1" applyFont="1">
      <alignment horizontal="center" readingOrder="0" shrinkToFit="0" vertical="bottom" wrapText="1"/>
    </xf>
    <xf borderId="18" fillId="5" fontId="16" numFmtId="0" xfId="0" applyAlignment="1" applyBorder="1" applyFont="1">
      <alignment horizontal="center" readingOrder="0"/>
    </xf>
    <xf borderId="21" fillId="0" fontId="6" numFmtId="0" xfId="0" applyAlignment="1" applyBorder="1" applyFont="1">
      <alignment horizontal="center" shrinkToFit="0" vertical="bottom" wrapText="1"/>
    </xf>
    <xf borderId="24" fillId="0" fontId="2" numFmtId="0" xfId="0" applyAlignment="1" applyBorder="1" applyFont="1">
      <alignment horizontal="center" vertical="bottom"/>
    </xf>
    <xf borderId="66" fillId="0" fontId="2" numFmtId="0" xfId="0" applyAlignment="1" applyBorder="1" applyFont="1">
      <alignment horizontal="center" vertical="bottom"/>
    </xf>
    <xf borderId="65" fillId="0" fontId="2" numFmtId="0" xfId="0" applyAlignment="1" applyBorder="1" applyFont="1">
      <alignment horizontal="center" vertical="bottom"/>
    </xf>
    <xf borderId="53" fillId="0" fontId="5" numFmtId="0" xfId="0" applyBorder="1" applyFont="1"/>
    <xf borderId="16" fillId="31" fontId="6" numFmtId="0" xfId="0" applyAlignment="1" applyBorder="1" applyFont="1">
      <alignment horizontal="center" readingOrder="0" shrinkToFit="0" vertical="bottom" wrapText="1"/>
    </xf>
    <xf borderId="2" fillId="31" fontId="20" numFmtId="0" xfId="0" applyAlignment="1" applyBorder="1" applyFont="1">
      <alignment horizontal="center" readingOrder="0" vertical="center"/>
    </xf>
    <xf borderId="2" fillId="31" fontId="16" numFmtId="0" xfId="0" applyAlignment="1" applyBorder="1" applyFont="1">
      <alignment horizontal="center" readingOrder="0"/>
    </xf>
    <xf borderId="2" fillId="31" fontId="19" numFmtId="0" xfId="0" applyAlignment="1" applyBorder="1" applyFont="1">
      <alignment horizontal="center" readingOrder="0"/>
    </xf>
    <xf borderId="2" fillId="31" fontId="31" numFmtId="0" xfId="0" applyAlignment="1" applyBorder="1" applyFont="1">
      <alignment horizontal="center" readingOrder="0" vertical="center"/>
    </xf>
    <xf borderId="10" fillId="9" fontId="6" numFmtId="0" xfId="0" applyAlignment="1" applyBorder="1" applyFont="1">
      <alignment horizontal="center" readingOrder="0" shrinkToFit="0" vertical="bottom" wrapText="1"/>
    </xf>
    <xf borderId="7" fillId="9" fontId="17" numFmtId="0" xfId="0" applyAlignment="1" applyBorder="1" applyFont="1">
      <alignment horizontal="center" readingOrder="0" vertical="center"/>
    </xf>
    <xf borderId="38" fillId="0" fontId="2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readingOrder="0" shrinkToFit="0" vertical="bottom" wrapText="1"/>
    </xf>
    <xf borderId="18" fillId="0" fontId="17" numFmtId="0" xfId="0" applyAlignment="1" applyBorder="1" applyFont="1">
      <alignment horizontal="center" readingOrder="0" vertical="center"/>
    </xf>
    <xf borderId="21" fillId="31" fontId="6" numFmtId="0" xfId="0" applyAlignment="1" applyBorder="1" applyFont="1">
      <alignment horizontal="center" readingOrder="0" shrinkToFit="0" vertical="bottom" wrapText="1"/>
    </xf>
    <xf borderId="18" fillId="31" fontId="17" numFmtId="0" xfId="0" applyAlignment="1" applyBorder="1" applyFont="1">
      <alignment horizontal="center" readingOrder="0" vertical="center"/>
    </xf>
    <xf borderId="30" fillId="31" fontId="2" numFmtId="0" xfId="0" applyAlignment="1" applyBorder="1" applyFont="1">
      <alignment horizontal="center" readingOrder="0" vertical="bottom"/>
    </xf>
    <xf borderId="30" fillId="31" fontId="16" numFmtId="0" xfId="0" applyAlignment="1" applyBorder="1" applyFont="1">
      <alignment horizontal="center" readingOrder="0"/>
    </xf>
    <xf borderId="30" fillId="31" fontId="17" numFmtId="0" xfId="0" applyAlignment="1" applyBorder="1" applyFont="1">
      <alignment horizontal="center" readingOrder="0" vertical="center"/>
    </xf>
    <xf borderId="67" fillId="5" fontId="20" numFmtId="0" xfId="0" applyAlignment="1" applyBorder="1" applyFont="1">
      <alignment horizontal="center" readingOrder="0" vertical="center"/>
    </xf>
    <xf borderId="67" fillId="5" fontId="16" numFmtId="0" xfId="0" applyAlignment="1" applyBorder="1" applyFont="1">
      <alignment horizontal="center" readingOrder="0"/>
    </xf>
    <xf borderId="67" fillId="5" fontId="19" numFmtId="0" xfId="0" applyAlignment="1" applyBorder="1" applyFont="1">
      <alignment horizontal="center" readingOrder="0"/>
    </xf>
    <xf borderId="7" fillId="0" fontId="31" numFmtId="0" xfId="0" applyAlignment="1" applyBorder="1" applyFont="1">
      <alignment horizontal="center" readingOrder="0" vertical="center"/>
    </xf>
    <xf borderId="21" fillId="9" fontId="6" numFmtId="0" xfId="0" applyAlignment="1" applyBorder="1" applyFont="1">
      <alignment horizontal="center" shrinkToFit="0" vertical="bottom" wrapText="1"/>
    </xf>
    <xf borderId="18" fillId="9" fontId="31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horizontal="center" readingOrder="0" shrinkToFit="0" vertical="bottom" wrapText="1"/>
    </xf>
    <xf borderId="53" fillId="0" fontId="31" numFmtId="0" xfId="0" applyAlignment="1" applyBorder="1" applyFont="1">
      <alignment horizontal="center" readingOrder="0" vertical="center"/>
    </xf>
    <xf borderId="7" fillId="5" fontId="17" numFmtId="0" xfId="0" applyAlignment="1" applyBorder="1" applyFont="1">
      <alignment horizontal="center" readingOrder="0" vertical="center"/>
    </xf>
    <xf borderId="18" fillId="9" fontId="17" numFmtId="0" xfId="0" applyAlignment="1" applyBorder="1" applyFont="1">
      <alignment horizontal="center" readingOrder="0" vertical="center"/>
    </xf>
    <xf borderId="27" fillId="0" fontId="6" numFmtId="0" xfId="0" applyAlignment="1" applyBorder="1" applyFont="1">
      <alignment horizontal="center" readingOrder="0" shrinkToFit="0" vertical="bottom" wrapText="1"/>
    </xf>
    <xf borderId="30" fillId="0" fontId="17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shrinkToFit="0" vertical="center" wrapText="1"/>
    </xf>
    <xf borderId="8" fillId="5" fontId="2" numFmtId="0" xfId="0" applyAlignment="1" applyBorder="1" applyFont="1">
      <alignment horizontal="center" readingOrder="0" vertical="center"/>
    </xf>
    <xf borderId="59" fillId="0" fontId="2" numFmtId="0" xfId="0" applyAlignment="1" applyBorder="1" applyFont="1">
      <alignment horizontal="center" readingOrder="0" vertical="center"/>
    </xf>
    <xf borderId="10" fillId="3" fontId="6" numFmtId="0" xfId="0" applyAlignment="1" applyBorder="1" applyFont="1">
      <alignment horizontal="center" readingOrder="0" vertical="center"/>
    </xf>
    <xf borderId="8" fillId="3" fontId="6" numFmtId="3" xfId="0" applyAlignment="1" applyBorder="1" applyFont="1" applyNumberFormat="1">
      <alignment horizontal="center" readingOrder="0" vertical="center"/>
    </xf>
    <xf borderId="38" fillId="3" fontId="2" numFmtId="0" xfId="0" applyAlignment="1" applyBorder="1" applyFont="1">
      <alignment horizontal="center" readingOrder="0" vertical="center"/>
    </xf>
    <xf borderId="18" fillId="31" fontId="16" numFmtId="0" xfId="0" applyAlignment="1" applyBorder="1" applyFont="1">
      <alignment horizontal="center" readingOrder="0" vertical="center"/>
    </xf>
    <xf borderId="19" fillId="31" fontId="2" numFmtId="0" xfId="0" applyAlignment="1" applyBorder="1" applyFont="1">
      <alignment horizontal="center" readingOrder="0" vertical="center"/>
    </xf>
    <xf borderId="21" fillId="3" fontId="12" numFmtId="3" xfId="0" applyAlignment="1" applyBorder="1" applyFont="1" applyNumberFormat="1">
      <alignment horizontal="center" vertical="bottom"/>
    </xf>
    <xf borderId="19" fillId="3" fontId="12" numFmtId="3" xfId="0" applyAlignment="1" applyBorder="1" applyFont="1" applyNumberFormat="1">
      <alignment horizontal="center" vertical="bottom"/>
    </xf>
    <xf borderId="19" fillId="6" fontId="2" numFmtId="0" xfId="0" applyAlignment="1" applyBorder="1" applyFont="1">
      <alignment horizontal="center" readingOrder="0" vertical="center"/>
    </xf>
    <xf borderId="31" fillId="15" fontId="2" numFmtId="0" xfId="0" applyAlignment="1" applyBorder="1" applyFont="1">
      <alignment horizontal="center" readingOrder="0" vertical="center"/>
    </xf>
    <xf borderId="29" fillId="3" fontId="12" numFmtId="3" xfId="0" applyAlignment="1" applyBorder="1" applyFont="1" applyNumberFormat="1">
      <alignment horizontal="center" vertical="bottom"/>
    </xf>
    <xf borderId="31" fillId="3" fontId="12" numFmtId="3" xfId="0" applyAlignment="1" applyBorder="1" applyFont="1" applyNumberFormat="1">
      <alignment horizontal="center" vertical="bottom"/>
    </xf>
    <xf borderId="12" fillId="5" fontId="20" numFmtId="0" xfId="0" applyAlignment="1" applyBorder="1" applyFont="1">
      <alignment horizontal="center" readingOrder="0" vertical="center"/>
    </xf>
    <xf borderId="40" fillId="0" fontId="20" numFmtId="0" xfId="0" applyAlignment="1" applyBorder="1" applyFont="1">
      <alignment horizontal="center" readingOrder="0" vertical="center"/>
    </xf>
    <xf borderId="10" fillId="3" fontId="11" numFmtId="3" xfId="0" applyAlignment="1" applyBorder="1" applyFont="1" applyNumberFormat="1">
      <alignment horizontal="center" readingOrder="0" vertical="bottom"/>
    </xf>
    <xf borderId="8" fillId="3" fontId="9" numFmtId="3" xfId="0" applyAlignment="1" applyBorder="1" applyFont="1" applyNumberFormat="1">
      <alignment horizontal="center" vertical="bottom"/>
    </xf>
    <xf borderId="33" fillId="6" fontId="20" numFmtId="0" xfId="0" applyAlignment="1" applyBorder="1" applyFont="1">
      <alignment horizontal="center" readingOrder="0" vertical="center"/>
    </xf>
    <xf borderId="52" fillId="3" fontId="9" numFmtId="3" xfId="0" applyAlignment="1" applyBorder="1" applyFont="1" applyNumberFormat="1">
      <alignment horizontal="center" vertical="bottom"/>
    </xf>
    <xf borderId="68" fillId="3" fontId="9" numFmtId="3" xfId="0" applyAlignment="1" applyBorder="1" applyFont="1" applyNumberFormat="1">
      <alignment horizontal="center" vertical="bottom"/>
    </xf>
    <xf borderId="57" fillId="0" fontId="2" numFmtId="0" xfId="0" applyAlignment="1" applyBorder="1" applyFont="1">
      <alignment horizontal="center" readingOrder="0" vertical="center"/>
    </xf>
    <xf borderId="10" fillId="3" fontId="11" numFmtId="3" xfId="0" applyAlignment="1" applyBorder="1" applyFont="1" applyNumberFormat="1">
      <alignment horizontal="center" vertical="bottom"/>
    </xf>
    <xf borderId="21" fillId="3" fontId="9" numFmtId="3" xfId="0" applyAlignment="1" applyBorder="1" applyFont="1" applyNumberFormat="1">
      <alignment horizontal="center" vertical="bottom"/>
    </xf>
    <xf borderId="19" fillId="3" fontId="9" numFmtId="3" xfId="0" applyAlignment="1" applyBorder="1" applyFont="1" applyNumberFormat="1">
      <alignment horizontal="center" vertical="bottom"/>
    </xf>
    <xf borderId="19" fillId="9" fontId="2" numFmtId="0" xfId="0" applyAlignment="1" applyBorder="1" applyFont="1">
      <alignment horizontal="center" readingOrder="0" vertical="center"/>
    </xf>
    <xf borderId="29" fillId="3" fontId="9" numFmtId="3" xfId="0" applyAlignment="1" applyBorder="1" applyFont="1" applyNumberFormat="1">
      <alignment horizontal="center" vertical="bottom"/>
    </xf>
    <xf borderId="31" fillId="3" fontId="9" numFmtId="3" xfId="0" applyAlignment="1" applyBorder="1" applyFont="1" applyNumberFormat="1">
      <alignment horizontal="center" vertical="bottom"/>
    </xf>
    <xf borderId="7" fillId="0" fontId="36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18" fillId="27" fontId="16" numFmtId="0" xfId="0" applyAlignment="1" applyBorder="1" applyFont="1">
      <alignment horizontal="center" readingOrder="0" vertical="center"/>
    </xf>
    <xf borderId="18" fillId="27" fontId="19" numFmtId="0" xfId="0" applyAlignment="1" applyBorder="1" applyFont="1">
      <alignment horizontal="center" readingOrder="0"/>
    </xf>
    <xf borderId="18" fillId="27" fontId="36" numFmtId="0" xfId="0" applyAlignment="1" applyBorder="1" applyFont="1">
      <alignment horizontal="center" readingOrder="0" vertical="center"/>
    </xf>
    <xf borderId="19" fillId="27" fontId="2" numFmtId="0" xfId="0" applyAlignment="1" applyBorder="1" applyFont="1">
      <alignment horizontal="center" readingOrder="0" vertical="center"/>
    </xf>
    <xf borderId="18" fillId="9" fontId="36" numFmtId="0" xfId="0" applyAlignment="1" applyBorder="1" applyFont="1">
      <alignment horizontal="center" readingOrder="0" vertical="center"/>
    </xf>
    <xf borderId="30" fillId="3" fontId="36" numFmtId="0" xfId="0" applyAlignment="1" applyBorder="1" applyFont="1">
      <alignment horizontal="center" readingOrder="0" vertical="center"/>
    </xf>
    <xf borderId="31" fillId="3" fontId="2" numFmtId="0" xfId="0" applyAlignment="1" applyBorder="1" applyFont="1">
      <alignment horizontal="center" readingOrder="0" vertical="center"/>
    </xf>
    <xf borderId="7" fillId="9" fontId="31" numFmtId="0" xfId="0" applyAlignment="1" applyBorder="1" applyFont="1">
      <alignment horizontal="center" readingOrder="0" vertical="center"/>
    </xf>
    <xf borderId="69" fillId="3" fontId="11" numFmtId="3" xfId="0" applyAlignment="1" applyBorder="1" applyFont="1" applyNumberFormat="1">
      <alignment horizontal="center" readingOrder="0" vertical="bottom"/>
    </xf>
    <xf borderId="54" fillId="3" fontId="9" numFmtId="3" xfId="0" applyAlignment="1" applyBorder="1" applyFont="1" applyNumberFormat="1">
      <alignment horizontal="center" vertical="bottom"/>
    </xf>
    <xf borderId="67" fillId="10" fontId="20" numFmtId="0" xfId="0" applyAlignment="1" applyBorder="1" applyFont="1">
      <alignment horizontal="center" readingOrder="0" vertical="center"/>
    </xf>
    <xf borderId="67" fillId="10" fontId="16" numFmtId="0" xfId="0" applyAlignment="1" applyBorder="1" applyFont="1">
      <alignment horizontal="center" readingOrder="0" vertical="center"/>
    </xf>
    <xf borderId="67" fillId="10" fontId="19" numFmtId="0" xfId="0" applyAlignment="1" applyBorder="1" applyFont="1">
      <alignment horizontal="center" readingOrder="0"/>
    </xf>
    <xf borderId="67" fillId="10" fontId="31" numFmtId="0" xfId="0" applyAlignment="1" applyBorder="1" applyFont="1">
      <alignment horizontal="center" readingOrder="0" vertical="center"/>
    </xf>
    <xf borderId="19" fillId="10" fontId="2" numFmtId="0" xfId="0" applyAlignment="1" applyBorder="1" applyFont="1">
      <alignment horizontal="center" readingOrder="0" vertical="center"/>
    </xf>
    <xf borderId="18" fillId="7" fontId="31" numFmtId="0" xfId="0" applyAlignment="1" applyBorder="1" applyFont="1">
      <alignment horizontal="center" readingOrder="0" vertical="center"/>
    </xf>
    <xf borderId="19" fillId="7" fontId="2" numFmtId="0" xfId="0" applyAlignment="1" applyBorder="1" applyFont="1">
      <alignment horizontal="center" readingOrder="0" vertical="center"/>
    </xf>
    <xf borderId="69" fillId="27" fontId="6" numFmtId="0" xfId="0" applyAlignment="1" applyBorder="1" applyFont="1">
      <alignment horizontal="center" readingOrder="0" shrinkToFit="0" vertical="bottom" wrapText="1"/>
    </xf>
    <xf borderId="18" fillId="27" fontId="5" numFmtId="0" xfId="0" applyBorder="1" applyFont="1"/>
    <xf borderId="18" fillId="27" fontId="31" numFmtId="0" xfId="0" applyAlignment="1" applyBorder="1" applyFont="1">
      <alignment horizontal="center" readingOrder="0" vertical="center"/>
    </xf>
    <xf borderId="30" fillId="3" fontId="31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vertical="center"/>
    </xf>
    <xf borderId="10" fillId="27" fontId="6" numFmtId="0" xfId="0" applyAlignment="1" applyBorder="1" applyFont="1">
      <alignment horizontal="center" shrinkToFit="0" vertical="bottom" wrapText="1"/>
    </xf>
    <xf borderId="7" fillId="27" fontId="5" numFmtId="0" xfId="0" applyBorder="1" applyFont="1"/>
    <xf borderId="8" fillId="27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21" fillId="3" fontId="6" numFmtId="3" xfId="0" applyAlignment="1" applyBorder="1" applyFont="1" applyNumberFormat="1">
      <alignment horizontal="center" readingOrder="0" vertical="center"/>
    </xf>
    <xf borderId="19" fillId="3" fontId="6" numFmtId="3" xfId="0" applyAlignment="1" applyBorder="1" applyFont="1" applyNumberFormat="1">
      <alignment horizontal="center" readingOrder="0" vertical="center"/>
    </xf>
    <xf borderId="29" fillId="3" fontId="6" numFmtId="3" xfId="0" applyAlignment="1" applyBorder="1" applyFont="1" applyNumberFormat="1">
      <alignment horizontal="center" readingOrder="0" vertical="center"/>
    </xf>
    <xf borderId="31" fillId="3" fontId="6" numFmtId="3" xfId="0" applyAlignment="1" applyBorder="1" applyFont="1" applyNumberFormat="1">
      <alignment horizontal="center" readingOrder="0" vertical="center"/>
    </xf>
    <xf borderId="10" fillId="27" fontId="6" numFmtId="0" xfId="0" applyAlignment="1" applyBorder="1" applyFont="1">
      <alignment horizontal="center" readingOrder="0" vertical="center"/>
    </xf>
    <xf borderId="12" fillId="27" fontId="20" numFmtId="0" xfId="0" applyAlignment="1" applyBorder="1" applyFont="1">
      <alignment horizontal="center" readingOrder="0" vertical="center"/>
    </xf>
    <xf borderId="10" fillId="0" fontId="19" numFmtId="0" xfId="0" applyAlignment="1" applyBorder="1" applyFont="1">
      <alignment horizontal="center" readingOrder="0" vertical="center"/>
    </xf>
    <xf borderId="8" fillId="3" fontId="6" numFmtId="0" xfId="0" applyAlignment="1" applyBorder="1" applyFont="1">
      <alignment horizontal="center" readingOrder="0" vertical="center"/>
    </xf>
    <xf borderId="29" fillId="31" fontId="6" numFmtId="0" xfId="0" applyAlignment="1" applyBorder="1" applyFont="1">
      <alignment horizontal="center" readingOrder="0" vertical="center"/>
    </xf>
    <xf borderId="33" fillId="31" fontId="20" numFmtId="0" xfId="0" applyAlignment="1" applyBorder="1" applyFont="1">
      <alignment horizontal="center" readingOrder="0" vertical="center"/>
    </xf>
    <xf borderId="31" fillId="3" fontId="6" numFmtId="0" xfId="0" applyAlignment="1" applyBorder="1" applyFont="1">
      <alignment horizontal="center" readingOrder="0" vertical="center"/>
    </xf>
    <xf borderId="39" fillId="3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30" fillId="9" fontId="20" numFmtId="0" xfId="0" applyAlignment="1" applyBorder="1" applyFont="1">
      <alignment horizontal="center" readingOrder="0" vertical="center"/>
    </xf>
    <xf borderId="31" fillId="9" fontId="2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vertical="bottom" wrapText="1"/>
    </xf>
    <xf borderId="2" fillId="0" fontId="17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71" fillId="0" fontId="2" numFmtId="0" xfId="0" applyAlignment="1" applyBorder="1" applyFont="1">
      <alignment horizontal="center" readingOrder="0" vertical="center"/>
    </xf>
    <xf borderId="69" fillId="0" fontId="19" numFmtId="0" xfId="0" applyAlignment="1" applyBorder="1" applyFont="1">
      <alignment horizontal="center" readingOrder="0" vertical="center"/>
    </xf>
    <xf borderId="54" fillId="3" fontId="6" numFmtId="0" xfId="0" applyAlignment="1" applyBorder="1" applyFont="1">
      <alignment horizontal="center" readingOrder="0" vertical="center"/>
    </xf>
    <xf borderId="76" fillId="0" fontId="20" numFmtId="0" xfId="0" applyAlignment="1" applyBorder="1" applyFont="1">
      <alignment horizontal="center" readingOrder="0" vertical="center"/>
    </xf>
    <xf borderId="77" fillId="0" fontId="2" numFmtId="0" xfId="0" applyAlignment="1" applyBorder="1" applyFont="1">
      <alignment horizontal="center" readingOrder="0" vertical="center"/>
    </xf>
    <xf borderId="58" fillId="0" fontId="2" numFmtId="0" xfId="0" applyAlignment="1" applyBorder="1" applyFont="1">
      <alignment horizontal="center" readingOrder="0" vertical="center"/>
    </xf>
    <xf borderId="21" fillId="0" fontId="19" numFmtId="0" xfId="0" applyAlignment="1" applyBorder="1" applyFont="1">
      <alignment horizontal="center" readingOrder="0" vertical="center"/>
    </xf>
    <xf borderId="19" fillId="3" fontId="6" numFmtId="0" xfId="0" applyAlignment="1" applyBorder="1" applyFont="1">
      <alignment horizontal="center" readingOrder="0" vertical="center"/>
    </xf>
    <xf borderId="21" fillId="15" fontId="6" numFmtId="0" xfId="0" applyAlignment="1" applyBorder="1" applyFont="1">
      <alignment horizontal="center" readingOrder="0" shrinkToFit="0" vertical="bottom" wrapText="1"/>
    </xf>
    <xf borderId="25" fillId="15" fontId="2" numFmtId="0" xfId="0" applyAlignment="1" applyBorder="1" applyFont="1">
      <alignment horizontal="center" readingOrder="0" vertical="center"/>
    </xf>
    <xf borderId="73" fillId="15" fontId="2" numFmtId="0" xfId="0" applyAlignment="1" applyBorder="1" applyFont="1">
      <alignment horizontal="center" readingOrder="0" vertical="center"/>
    </xf>
    <xf borderId="29" fillId="10" fontId="6" numFmtId="0" xfId="0" applyAlignment="1" applyBorder="1" applyFont="1">
      <alignment horizontal="center" readingOrder="0" shrinkToFit="0" vertical="bottom" wrapText="1"/>
    </xf>
    <xf borderId="35" fillId="10" fontId="2" numFmtId="0" xfId="0" applyAlignment="1" applyBorder="1" applyFont="1">
      <alignment horizontal="center" readingOrder="0" vertical="center"/>
    </xf>
    <xf borderId="74" fillId="1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shrinkToFit="0" wrapText="0"/>
    </xf>
    <xf borderId="44" fillId="10" fontId="13" numFmtId="0" xfId="0" applyAlignment="1" applyBorder="1" applyFont="1">
      <alignment horizontal="center" readingOrder="0" vertical="center"/>
    </xf>
    <xf borderId="44" fillId="13" fontId="13" numFmtId="0" xfId="0" applyAlignment="1" applyBorder="1" applyFont="1">
      <alignment horizontal="center" readingOrder="0" vertical="center"/>
    </xf>
    <xf borderId="44" fillId="6" fontId="13" numFmtId="0" xfId="0" applyAlignment="1" applyBorder="1" applyFont="1">
      <alignment horizontal="center" readingOrder="0" shrinkToFit="0" vertical="center" wrapText="1"/>
    </xf>
    <xf borderId="44" fillId="18" fontId="13" numFmtId="0" xfId="0" applyAlignment="1" applyBorder="1" applyFont="1">
      <alignment horizontal="center" readingOrder="0" vertical="center"/>
    </xf>
    <xf borderId="44" fillId="9" fontId="13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0"/>
    </xf>
    <xf borderId="6" fillId="4" fontId="2" numFmtId="0" xfId="0" applyAlignment="1" applyBorder="1" applyFont="1">
      <alignment horizontal="center" readingOrder="0" shrinkToFit="0" vertical="center" wrapText="1"/>
    </xf>
    <xf borderId="48" fillId="4" fontId="2" numFmtId="0" xfId="0" applyAlignment="1" applyBorder="1" applyFont="1">
      <alignment horizontal="center" readingOrder="0" shrinkToFit="0" vertical="center" wrapText="0"/>
    </xf>
    <xf borderId="10" fillId="27" fontId="12" numFmtId="0" xfId="0" applyAlignment="1" applyBorder="1" applyFont="1">
      <alignment horizontal="center" shrinkToFit="0" vertical="bottom" wrapText="1"/>
    </xf>
    <xf borderId="7" fillId="27" fontId="23" numFmtId="0" xfId="0" applyAlignment="1" applyBorder="1" applyFont="1">
      <alignment horizontal="center" readingOrder="0" vertical="center"/>
    </xf>
    <xf borderId="7" fillId="27" fontId="37" numFmtId="0" xfId="0" applyBorder="1" applyFont="1"/>
    <xf borderId="7" fillId="27" fontId="37" numFmtId="0" xfId="0" applyAlignment="1" applyBorder="1" applyFont="1">
      <alignment horizontal="center" readingOrder="0"/>
    </xf>
    <xf borderId="7" fillId="27" fontId="15" numFmtId="0" xfId="0" applyAlignment="1" applyBorder="1" applyFont="1">
      <alignment horizontal="center" vertical="center"/>
    </xf>
    <xf borderId="38" fillId="3" fontId="9" numFmtId="0" xfId="0" applyAlignment="1" applyBorder="1" applyFont="1">
      <alignment horizontal="center" readingOrder="0" vertical="center"/>
    </xf>
    <xf borderId="8" fillId="27" fontId="9" numFmtId="0" xfId="0" applyAlignment="1" applyBorder="1" applyFont="1">
      <alignment horizontal="center" readingOrder="0" vertical="center"/>
    </xf>
    <xf borderId="38" fillId="0" fontId="9" numFmtId="0" xfId="0" applyAlignment="1" applyBorder="1" applyFont="1">
      <alignment horizontal="center" readingOrder="0" vertical="center"/>
    </xf>
    <xf borderId="45" fillId="3" fontId="9" numFmtId="0" xfId="0" applyAlignment="1" applyBorder="1" applyFont="1">
      <alignment horizontal="center" readingOrder="0" vertical="center"/>
    </xf>
    <xf borderId="48" fillId="3" fontId="9" numFmtId="0" xfId="0" applyAlignment="1" applyBorder="1" applyFont="1">
      <alignment horizontal="center" readingOrder="0" shrinkToFit="0" vertical="center" wrapText="0"/>
    </xf>
    <xf borderId="69" fillId="3" fontId="12" numFmtId="0" xfId="0" applyAlignment="1" applyBorder="1" applyFont="1">
      <alignment horizontal="center" readingOrder="0" shrinkToFit="0" vertical="bottom" wrapText="1"/>
    </xf>
    <xf borderId="67" fillId="3" fontId="23" numFmtId="0" xfId="0" applyAlignment="1" applyBorder="1" applyFont="1">
      <alignment horizontal="center" readingOrder="0" vertical="center"/>
    </xf>
    <xf borderId="67" fillId="3" fontId="37" numFmtId="0" xfId="0" applyAlignment="1" applyBorder="1" applyFont="1">
      <alignment horizontal="center" readingOrder="0"/>
    </xf>
    <xf borderId="67" fillId="3" fontId="15" numFmtId="0" xfId="0" applyAlignment="1" applyBorder="1" applyFont="1">
      <alignment horizontal="center" readingOrder="0" vertical="center"/>
    </xf>
    <xf borderId="54" fillId="3" fontId="9" numFmtId="0" xfId="0" applyAlignment="1" applyBorder="1" applyFont="1">
      <alignment horizontal="center" readingOrder="0" vertical="center"/>
    </xf>
    <xf borderId="48" fillId="3" fontId="38" numFmtId="0" xfId="0" applyAlignment="1" applyBorder="1" applyFont="1">
      <alignment horizontal="center" readingOrder="0" shrinkToFit="0" vertical="center" wrapText="0"/>
    </xf>
    <xf borderId="18" fillId="3" fontId="23" numFmtId="0" xfId="0" applyAlignment="1" applyBorder="1" applyFont="1">
      <alignment horizontal="center" readingOrder="0" vertical="center"/>
    </xf>
    <xf borderId="18" fillId="3" fontId="37" numFmtId="0" xfId="0" applyAlignment="1" applyBorder="1" applyFont="1">
      <alignment horizontal="center" readingOrder="0"/>
    </xf>
    <xf borderId="18" fillId="3" fontId="15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 readingOrder="0" vertical="center"/>
    </xf>
    <xf borderId="18" fillId="3" fontId="37" numFmtId="0" xfId="0" applyBorder="1" applyFont="1"/>
    <xf borderId="27" fillId="25" fontId="12" numFmtId="0" xfId="0" applyAlignment="1" applyBorder="1" applyFont="1">
      <alignment horizontal="center" readingOrder="0" shrinkToFit="0" vertical="bottom" wrapText="1"/>
    </xf>
    <xf borderId="30" fillId="25" fontId="23" numFmtId="0" xfId="0" applyAlignment="1" applyBorder="1" applyFont="1">
      <alignment horizontal="center" readingOrder="0" vertical="center"/>
    </xf>
    <xf borderId="30" fillId="25" fontId="37" numFmtId="0" xfId="0" applyBorder="1" applyFont="1"/>
    <xf borderId="30" fillId="25" fontId="37" numFmtId="0" xfId="0" applyAlignment="1" applyBorder="1" applyFont="1">
      <alignment horizontal="center" readingOrder="0"/>
    </xf>
    <xf borderId="30" fillId="25" fontId="15" numFmtId="0" xfId="0" applyAlignment="1" applyBorder="1" applyFont="1">
      <alignment horizontal="center" vertical="center"/>
    </xf>
    <xf borderId="31" fillId="25" fontId="9" numFmtId="0" xfId="0" applyAlignment="1" applyBorder="1" applyFont="1">
      <alignment horizontal="center" readingOrder="0" vertical="center"/>
    </xf>
    <xf borderId="10" fillId="3" fontId="12" numFmtId="0" xfId="0" applyAlignment="1" applyBorder="1" applyFont="1">
      <alignment horizontal="center" shrinkToFit="0" vertical="bottom" wrapText="1"/>
    </xf>
    <xf borderId="7" fillId="3" fontId="23" numFmtId="0" xfId="0" applyAlignment="1" applyBorder="1" applyFont="1">
      <alignment horizontal="center" readingOrder="0" vertical="center"/>
    </xf>
    <xf borderId="7" fillId="3" fontId="37" numFmtId="0" xfId="0" applyBorder="1" applyFont="1"/>
    <xf borderId="7" fillId="3" fontId="37" numFmtId="0" xfId="0" applyAlignment="1" applyBorder="1" applyFont="1">
      <alignment horizontal="center" readingOrder="0"/>
    </xf>
    <xf borderId="7" fillId="3" fontId="14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center" readingOrder="0" vertical="center"/>
    </xf>
    <xf borderId="69" fillId="27" fontId="12" numFmtId="0" xfId="0" applyAlignment="1" applyBorder="1" applyFont="1">
      <alignment horizontal="center" shrinkToFit="0" vertical="bottom" wrapText="1"/>
    </xf>
    <xf borderId="18" fillId="27" fontId="23" numFmtId="0" xfId="0" applyAlignment="1" applyBorder="1" applyFont="1">
      <alignment horizontal="center" readingOrder="0" vertical="center"/>
    </xf>
    <xf borderId="18" fillId="27" fontId="37" numFmtId="0" xfId="0" applyAlignment="1" applyBorder="1" applyFont="1">
      <alignment horizontal="center" readingOrder="0"/>
    </xf>
    <xf borderId="18" fillId="27" fontId="14" numFmtId="0" xfId="0" applyAlignment="1" applyBorder="1" applyFont="1">
      <alignment horizontal="center" readingOrder="0" vertical="center"/>
    </xf>
    <xf borderId="19" fillId="27" fontId="9" numFmtId="0" xfId="0" applyAlignment="1" applyBorder="1" applyFont="1">
      <alignment horizontal="center" readingOrder="0" vertical="center"/>
    </xf>
    <xf borderId="69" fillId="9" fontId="12" numFmtId="0" xfId="0" applyAlignment="1" applyBorder="1" applyFont="1">
      <alignment horizontal="center" readingOrder="0" shrinkToFit="0" vertical="bottom" wrapText="1"/>
    </xf>
    <xf borderId="18" fillId="9" fontId="23" numFmtId="0" xfId="0" applyAlignment="1" applyBorder="1" applyFont="1">
      <alignment horizontal="center" readingOrder="0" vertical="center"/>
    </xf>
    <xf borderId="18" fillId="9" fontId="37" numFmtId="0" xfId="0" applyBorder="1" applyFont="1"/>
    <xf borderId="18" fillId="9" fontId="37" numFmtId="0" xfId="0" applyAlignment="1" applyBorder="1" applyFont="1">
      <alignment horizontal="center" readingOrder="0"/>
    </xf>
    <xf borderId="18" fillId="9" fontId="14" numFmtId="0" xfId="0" applyAlignment="1" applyBorder="1" applyFont="1">
      <alignment horizontal="center" readingOrder="0" vertical="center"/>
    </xf>
    <xf borderId="19" fillId="9" fontId="9" numFmtId="0" xfId="0" applyAlignment="1" applyBorder="1" applyFont="1">
      <alignment horizontal="center" readingOrder="0" vertical="center"/>
    </xf>
    <xf borderId="27" fillId="3" fontId="12" numFmtId="0" xfId="0" applyAlignment="1" applyBorder="1" applyFont="1">
      <alignment horizontal="center" readingOrder="0" shrinkToFit="0" vertical="bottom" wrapText="1"/>
    </xf>
    <xf borderId="30" fillId="3" fontId="23" numFmtId="0" xfId="0" applyAlignment="1" applyBorder="1" applyFont="1">
      <alignment horizontal="center" readingOrder="0" vertical="center"/>
    </xf>
    <xf borderId="30" fillId="3" fontId="37" numFmtId="0" xfId="0" applyBorder="1" applyFont="1"/>
    <xf borderId="30" fillId="3" fontId="37" numFmtId="0" xfId="0" applyAlignment="1" applyBorder="1" applyFont="1">
      <alignment horizontal="center" readingOrder="0"/>
    </xf>
    <xf borderId="30" fillId="3" fontId="14" numFmtId="0" xfId="0" applyAlignment="1" applyBorder="1" applyFont="1">
      <alignment horizontal="center" readingOrder="0" vertical="center"/>
    </xf>
    <xf borderId="31" fillId="3" fontId="9" numFmtId="0" xfId="0" applyAlignment="1" applyBorder="1" applyFont="1">
      <alignment horizontal="center" readingOrder="0" vertical="center"/>
    </xf>
    <xf borderId="7" fillId="3" fontId="15" numFmtId="0" xfId="0" applyAlignment="1" applyBorder="1" applyFont="1">
      <alignment horizontal="center" vertical="center"/>
    </xf>
    <xf borderId="69" fillId="25" fontId="12" numFmtId="0" xfId="0" applyAlignment="1" applyBorder="1" applyFont="1">
      <alignment horizontal="center" shrinkToFit="0" vertical="bottom" wrapText="1"/>
    </xf>
    <xf borderId="18" fillId="25" fontId="23" numFmtId="0" xfId="0" applyAlignment="1" applyBorder="1" applyFont="1">
      <alignment horizontal="center" readingOrder="0" vertical="center"/>
    </xf>
    <xf borderId="18" fillId="25" fontId="37" numFmtId="0" xfId="0" applyAlignment="1" applyBorder="1" applyFont="1">
      <alignment horizontal="center" readingOrder="0"/>
    </xf>
    <xf borderId="18" fillId="25" fontId="15" numFmtId="0" xfId="0" applyAlignment="1" applyBorder="1" applyFont="1">
      <alignment horizontal="center" vertical="center"/>
    </xf>
    <xf borderId="19" fillId="25" fontId="9" numFmtId="0" xfId="0" applyAlignment="1" applyBorder="1" applyFont="1">
      <alignment horizontal="center" readingOrder="0" vertical="center"/>
    </xf>
    <xf borderId="48" fillId="3" fontId="39" numFmtId="0" xfId="0" applyAlignment="1" applyBorder="1" applyFont="1">
      <alignment horizontal="center" readingOrder="0" shrinkToFit="0" vertical="center" wrapText="0"/>
    </xf>
    <xf borderId="69" fillId="18" fontId="12" numFmtId="0" xfId="0" applyAlignment="1" applyBorder="1" applyFont="1">
      <alignment horizontal="center" readingOrder="0" shrinkToFit="0" vertical="bottom" wrapText="1"/>
    </xf>
    <xf borderId="18" fillId="18" fontId="23" numFmtId="0" xfId="0" applyAlignment="1" applyBorder="1" applyFont="1">
      <alignment horizontal="center" readingOrder="0" vertical="center"/>
    </xf>
    <xf borderId="18" fillId="18" fontId="37" numFmtId="0" xfId="0" applyBorder="1" applyFont="1"/>
    <xf borderId="18" fillId="18" fontId="37" numFmtId="0" xfId="0" applyAlignment="1" applyBorder="1" applyFont="1">
      <alignment horizontal="center" readingOrder="0"/>
    </xf>
    <xf borderId="18" fillId="18" fontId="15" numFmtId="0" xfId="0" applyAlignment="1" applyBorder="1" applyFont="1">
      <alignment horizontal="center" vertical="center"/>
    </xf>
    <xf borderId="19" fillId="18" fontId="9" numFmtId="0" xfId="0" applyAlignment="1" applyBorder="1" applyFont="1">
      <alignment horizontal="center" readingOrder="0" vertical="center"/>
    </xf>
    <xf borderId="30" fillId="3" fontId="15" numFmtId="0" xfId="0" applyAlignment="1" applyBorder="1" applyFont="1">
      <alignment horizontal="center" vertical="center"/>
    </xf>
    <xf borderId="10" fillId="9" fontId="12" numFmtId="0" xfId="0" applyAlignment="1" applyBorder="1" applyFont="1">
      <alignment horizontal="center" shrinkToFit="0" vertical="bottom" wrapText="1"/>
    </xf>
    <xf borderId="7" fillId="9" fontId="23" numFmtId="0" xfId="0" applyAlignment="1" applyBorder="1" applyFont="1">
      <alignment horizontal="center" readingOrder="0" vertical="center"/>
    </xf>
    <xf borderId="7" fillId="9" fontId="37" numFmtId="0" xfId="0" applyBorder="1" applyFont="1"/>
    <xf borderId="7" fillId="9" fontId="37" numFmtId="0" xfId="0" applyAlignment="1" applyBorder="1" applyFont="1">
      <alignment horizontal="center" readingOrder="0"/>
    </xf>
    <xf borderId="7" fillId="9" fontId="14" numFmtId="0" xfId="0" applyAlignment="1" applyBorder="1" applyFont="1">
      <alignment horizontal="center" readingOrder="0" vertical="center"/>
    </xf>
    <xf borderId="8" fillId="9" fontId="9" numFmtId="0" xfId="0" applyAlignment="1" applyBorder="1" applyFont="1">
      <alignment horizontal="center" readingOrder="0" vertical="center"/>
    </xf>
    <xf borderId="72" fillId="9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shrinkToFit="0" wrapText="1"/>
    </xf>
    <xf borderId="69" fillId="15" fontId="12" numFmtId="0" xfId="0" applyAlignment="1" applyBorder="1" applyFont="1">
      <alignment horizontal="center" readingOrder="0" shrinkToFit="0" vertical="bottom" wrapText="1"/>
    </xf>
    <xf borderId="18" fillId="15" fontId="23" numFmtId="0" xfId="0" applyAlignment="1" applyBorder="1" applyFont="1">
      <alignment horizontal="center" readingOrder="0" vertical="center"/>
    </xf>
    <xf borderId="18" fillId="15" fontId="37" numFmtId="0" xfId="0" applyAlignment="1" applyBorder="1" applyFont="1">
      <alignment horizontal="center" readingOrder="0"/>
    </xf>
    <xf borderId="18" fillId="15" fontId="14" numFmtId="0" xfId="0" applyAlignment="1" applyBorder="1" applyFont="1">
      <alignment horizontal="center" readingOrder="0" vertical="center"/>
    </xf>
    <xf borderId="19" fillId="15" fontId="9" numFmtId="0" xfId="0" applyAlignment="1" applyBorder="1" applyFont="1">
      <alignment horizontal="center" readingOrder="0" vertical="center"/>
    </xf>
    <xf borderId="73" fillId="15" fontId="9" numFmtId="0" xfId="0" applyAlignment="1" applyBorder="1" applyFont="1">
      <alignment horizontal="center" readingOrder="0" vertical="center"/>
    </xf>
    <xf borderId="27" fillId="18" fontId="12" numFmtId="0" xfId="0" applyAlignment="1" applyBorder="1" applyFont="1">
      <alignment horizontal="center" readingOrder="0" shrinkToFit="0" vertical="bottom" wrapText="1"/>
    </xf>
    <xf borderId="30" fillId="18" fontId="23" numFmtId="0" xfId="0" applyAlignment="1" applyBorder="1" applyFont="1">
      <alignment horizontal="center" readingOrder="0" vertical="center"/>
    </xf>
    <xf borderId="30" fillId="18" fontId="37" numFmtId="0" xfId="0" applyBorder="1" applyFont="1"/>
    <xf borderId="30" fillId="18" fontId="37" numFmtId="0" xfId="0" applyAlignment="1" applyBorder="1" applyFont="1">
      <alignment horizontal="center" readingOrder="0"/>
    </xf>
    <xf borderId="18" fillId="18" fontId="14" numFmtId="0" xfId="0" applyAlignment="1" applyBorder="1" applyFont="1">
      <alignment horizontal="center" readingOrder="0" vertical="center"/>
    </xf>
    <xf borderId="31" fillId="18" fontId="9" numFmtId="0" xfId="0" applyAlignment="1" applyBorder="1" applyFont="1">
      <alignment horizontal="center" readingOrder="0" vertical="center"/>
    </xf>
    <xf borderId="74" fillId="18" fontId="9" numFmtId="0" xfId="0" applyAlignment="1" applyBorder="1" applyFont="1">
      <alignment horizontal="center" readingOrder="0" vertical="center"/>
    </xf>
    <xf borderId="72" fillId="27" fontId="9" numFmtId="0" xfId="0" applyAlignment="1" applyBorder="1" applyFont="1">
      <alignment horizontal="center" readingOrder="0" vertical="center"/>
    </xf>
    <xf borderId="73" fillId="25" fontId="9" numFmtId="0" xfId="0" applyAlignment="1" applyBorder="1" applyFont="1">
      <alignment horizontal="center" readingOrder="0" vertical="center"/>
    </xf>
    <xf borderId="69" fillId="10" fontId="12" numFmtId="0" xfId="0" applyAlignment="1" applyBorder="1" applyFont="1">
      <alignment horizontal="center" readingOrder="0" shrinkToFit="0" vertical="bottom" wrapText="1"/>
    </xf>
    <xf borderId="18" fillId="10" fontId="23" numFmtId="0" xfId="0" applyAlignment="1" applyBorder="1" applyFont="1">
      <alignment horizontal="center" readingOrder="0" vertical="center"/>
    </xf>
    <xf borderId="18" fillId="10" fontId="37" numFmtId="0" xfId="0" applyBorder="1" applyFont="1"/>
    <xf borderId="18" fillId="10" fontId="37" numFmtId="0" xfId="0" applyAlignment="1" applyBorder="1" applyFont="1">
      <alignment horizontal="center" readingOrder="0"/>
    </xf>
    <xf borderId="18" fillId="10" fontId="15" numFmtId="0" xfId="0" applyAlignment="1" applyBorder="1" applyFont="1">
      <alignment horizontal="center" vertical="center"/>
    </xf>
    <xf borderId="19" fillId="10" fontId="9" numFmtId="0" xfId="0" applyAlignment="1" applyBorder="1" applyFont="1">
      <alignment horizontal="center" readingOrder="0" vertical="center"/>
    </xf>
    <xf borderId="73" fillId="10" fontId="9" numFmtId="0" xfId="0" applyAlignment="1" applyBorder="1" applyFont="1">
      <alignment horizontal="center" readingOrder="0" vertical="center"/>
    </xf>
    <xf borderId="74" fillId="3" fontId="9" numFmtId="0" xfId="0" applyAlignment="1" applyBorder="1" applyFont="1">
      <alignment horizontal="center" readingOrder="0" vertical="center"/>
    </xf>
    <xf borderId="69" fillId="25" fontId="12" numFmtId="0" xfId="0" applyAlignment="1" applyBorder="1" applyFont="1">
      <alignment horizontal="center" readingOrder="0" shrinkToFit="0" vertical="bottom" wrapText="1"/>
    </xf>
    <xf borderId="18" fillId="25" fontId="37" numFmtId="0" xfId="0" applyBorder="1" applyFont="1"/>
    <xf borderId="18" fillId="25" fontId="14" numFmtId="0" xfId="0" applyAlignment="1" applyBorder="1" applyFont="1">
      <alignment horizontal="center" readingOrder="0" vertical="center"/>
    </xf>
    <xf borderId="15" fillId="3" fontId="40" numFmtId="0" xfId="0" applyAlignment="1" applyBorder="1" applyFont="1">
      <alignment horizontal="center" readingOrder="0" shrinkToFit="0" vertical="center" wrapText="0"/>
    </xf>
    <xf borderId="53" fillId="25" fontId="14" numFmtId="0" xfId="0" applyAlignment="1" applyBorder="1" applyFont="1">
      <alignment horizontal="center" readingOrder="0" vertical="center"/>
    </xf>
    <xf borderId="74" fillId="25" fontId="9" numFmtId="0" xfId="0" applyAlignment="1" applyBorder="1" applyFont="1">
      <alignment horizontal="center" readingOrder="0" vertical="center"/>
    </xf>
    <xf borderId="10" fillId="27" fontId="12" numFmtId="0" xfId="0" applyAlignment="1" applyBorder="1" applyFont="1">
      <alignment horizontal="center" readingOrder="0" shrinkToFit="0" vertical="bottom" wrapText="1"/>
    </xf>
    <xf borderId="2" fillId="3" fontId="23" numFmtId="0" xfId="0" applyAlignment="1" applyBorder="1" applyFont="1">
      <alignment horizontal="center" readingOrder="0" vertical="center"/>
    </xf>
    <xf borderId="38" fillId="3" fontId="9" numFmtId="0" xfId="0" applyAlignment="1" applyBorder="1" applyFont="1">
      <alignment horizontal="center" readingOrder="0" shrinkToFit="0" vertical="center" wrapText="1"/>
    </xf>
    <xf borderId="45" fillId="3" fontId="9" numFmtId="0" xfId="0" applyAlignment="1" applyBorder="1" applyFont="1">
      <alignment horizontal="center" readingOrder="0" shrinkToFit="0" vertical="center" wrapText="1"/>
    </xf>
    <xf borderId="7" fillId="27" fontId="14" numFmtId="0" xfId="0" applyAlignment="1" applyBorder="1" applyFont="1">
      <alignment horizontal="center" readingOrder="0" vertical="center"/>
    </xf>
    <xf borderId="69" fillId="3" fontId="12" numFmtId="0" xfId="0" applyAlignment="1" applyBorder="1" applyFont="1">
      <alignment horizontal="center" shrinkToFit="0" vertical="bottom" wrapText="1"/>
    </xf>
    <xf borderId="18" fillId="3" fontId="14" numFmtId="0" xfId="0" applyAlignment="1" applyBorder="1" applyFont="1">
      <alignment horizontal="center" readingOrder="0" vertical="center"/>
    </xf>
    <xf borderId="73" fillId="3" fontId="9" numFmtId="0" xfId="0" applyAlignment="1" applyBorder="1" applyFont="1">
      <alignment horizontal="center" readingOrder="0" vertical="center"/>
    </xf>
    <xf borderId="18" fillId="10" fontId="14" numFmtId="0" xfId="0" applyAlignment="1" applyBorder="1" applyFont="1">
      <alignment horizontal="center" readingOrder="0" vertical="center"/>
    </xf>
    <xf borderId="30" fillId="25" fontId="14" numFmtId="0" xfId="0" applyAlignment="1" applyBorder="1" applyFont="1">
      <alignment horizontal="center" readingOrder="0" vertical="center"/>
    </xf>
    <xf borderId="10" fillId="15" fontId="12" numFmtId="0" xfId="0" applyAlignment="1" applyBorder="1" applyFont="1">
      <alignment horizontal="center" shrinkToFit="0" vertical="bottom" wrapText="1"/>
    </xf>
    <xf borderId="7" fillId="15" fontId="23" numFmtId="0" xfId="0" applyAlignment="1" applyBorder="1" applyFont="1">
      <alignment horizontal="center" readingOrder="0" vertical="center"/>
    </xf>
    <xf borderId="7" fillId="15" fontId="37" numFmtId="0" xfId="0" applyBorder="1" applyFont="1"/>
    <xf borderId="7" fillId="15" fontId="37" numFmtId="0" xfId="0" applyAlignment="1" applyBorder="1" applyFont="1">
      <alignment horizontal="center" readingOrder="0"/>
    </xf>
    <xf borderId="7" fillId="15" fontId="14" numFmtId="0" xfId="0" applyAlignment="1" applyBorder="1" applyFont="1">
      <alignment horizontal="center" readingOrder="0" vertical="center"/>
    </xf>
    <xf borderId="8" fillId="15" fontId="9" numFmtId="0" xfId="0" applyAlignment="1" applyBorder="1" applyFont="1">
      <alignment horizontal="center" readingOrder="0" vertical="center"/>
    </xf>
    <xf borderId="72" fillId="15" fontId="9" numFmtId="0" xfId="0" applyAlignment="1" applyBorder="1" applyFont="1">
      <alignment horizontal="center" readingOrder="0" vertical="center"/>
    </xf>
    <xf borderId="69" fillId="9" fontId="12" numFmtId="0" xfId="0" applyAlignment="1" applyBorder="1" applyFont="1">
      <alignment horizontal="center" shrinkToFit="0" vertical="bottom" wrapText="1"/>
    </xf>
    <xf borderId="73" fillId="9" fontId="9" numFmtId="0" xfId="0" applyAlignment="1" applyBorder="1" applyFont="1">
      <alignment horizontal="center" readingOrder="0" vertical="center"/>
    </xf>
    <xf borderId="2" fillId="3" fontId="23" numFmtId="0" xfId="0" applyAlignment="1" applyBorder="1" applyFont="1">
      <alignment horizontal="center" readingOrder="0" shrinkToFit="0" vertical="center" wrapText="1"/>
    </xf>
    <xf borderId="27" fillId="10" fontId="12" numFmtId="0" xfId="0" applyAlignment="1" applyBorder="1" applyFont="1">
      <alignment horizontal="center" readingOrder="0" shrinkToFit="0" vertical="bottom" wrapText="1"/>
    </xf>
    <xf borderId="30" fillId="10" fontId="23" numFmtId="0" xfId="0" applyAlignment="1" applyBorder="1" applyFont="1">
      <alignment horizontal="center" readingOrder="0" vertical="center"/>
    </xf>
    <xf borderId="30" fillId="10" fontId="37" numFmtId="0" xfId="0" applyAlignment="1" applyBorder="1" applyFont="1">
      <alignment horizontal="center" readingOrder="0"/>
    </xf>
    <xf borderId="30" fillId="10" fontId="15" numFmtId="0" xfId="0" applyAlignment="1" applyBorder="1" applyFont="1">
      <alignment horizontal="center" vertical="center"/>
    </xf>
    <xf borderId="31" fillId="10" fontId="9" numFmtId="0" xfId="0" applyAlignment="1" applyBorder="1" applyFont="1">
      <alignment horizontal="center" readingOrder="0" vertical="center"/>
    </xf>
    <xf borderId="74" fillId="10" fontId="9" numFmtId="0" xfId="0" applyAlignment="1" applyBorder="1" applyFont="1">
      <alignment horizontal="center" readingOrder="0" vertical="center"/>
    </xf>
    <xf borderId="69" fillId="7" fontId="12" numFmtId="0" xfId="0" applyAlignment="1" applyBorder="1" applyFont="1">
      <alignment horizontal="center" shrinkToFit="0" vertical="bottom" wrapText="1"/>
    </xf>
    <xf borderId="18" fillId="7" fontId="23" numFmtId="0" xfId="0" applyAlignment="1" applyBorder="1" applyFont="1">
      <alignment horizontal="center" readingOrder="0" vertical="center"/>
    </xf>
    <xf borderId="18" fillId="7" fontId="37" numFmtId="0" xfId="0" applyAlignment="1" applyBorder="1" applyFont="1">
      <alignment horizontal="center" readingOrder="0"/>
    </xf>
    <xf borderId="18" fillId="7" fontId="14" numFmtId="0" xfId="0" applyAlignment="1" applyBorder="1" applyFont="1">
      <alignment horizontal="center" readingOrder="0" vertical="center"/>
    </xf>
    <xf borderId="19" fillId="7" fontId="9" numFmtId="0" xfId="0" applyAlignment="1" applyBorder="1" applyFont="1">
      <alignment horizontal="center" readingOrder="0" vertical="center"/>
    </xf>
    <xf borderId="73" fillId="7" fontId="9" numFmtId="0" xfId="0" applyAlignment="1" applyBorder="1" applyFont="1">
      <alignment horizontal="center" readingOrder="0" vertical="center"/>
    </xf>
    <xf borderId="30" fillId="18" fontId="15" numFmtId="0" xfId="0" applyAlignment="1" applyBorder="1" applyFont="1">
      <alignment horizontal="center" vertical="center"/>
    </xf>
    <xf borderId="27" fillId="15" fontId="12" numFmtId="0" xfId="0" applyAlignment="1" applyBorder="1" applyFont="1">
      <alignment horizontal="center" readingOrder="0" shrinkToFit="0" vertical="bottom" wrapText="1"/>
    </xf>
    <xf borderId="30" fillId="15" fontId="23" numFmtId="0" xfId="0" applyAlignment="1" applyBorder="1" applyFont="1">
      <alignment horizontal="center" readingOrder="0" vertical="center"/>
    </xf>
    <xf borderId="30" fillId="15" fontId="37" numFmtId="0" xfId="0" applyBorder="1" applyFont="1"/>
    <xf borderId="30" fillId="15" fontId="37" numFmtId="0" xfId="0" applyAlignment="1" applyBorder="1" applyFont="1">
      <alignment horizontal="center" readingOrder="0"/>
    </xf>
    <xf borderId="31" fillId="15" fontId="9" numFmtId="0" xfId="0" applyAlignment="1" applyBorder="1" applyFont="1">
      <alignment horizontal="center" readingOrder="0" vertical="center"/>
    </xf>
    <xf borderId="74" fillId="15" fontId="9" numFmtId="0" xfId="0" applyAlignment="1" applyBorder="1" applyFont="1">
      <alignment horizontal="center" readingOrder="0" vertical="center"/>
    </xf>
    <xf borderId="69" fillId="15" fontId="12" numFmtId="0" xfId="0" applyAlignment="1" applyBorder="1" applyFont="1">
      <alignment horizontal="center" shrinkToFit="0" vertical="bottom" wrapText="1"/>
    </xf>
    <xf borderId="18" fillId="15" fontId="15" numFmtId="0" xfId="0" applyAlignment="1" applyBorder="1" applyFont="1">
      <alignment horizontal="center" vertical="center"/>
    </xf>
    <xf borderId="18" fillId="9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ccounting 02 | BeyondK" id="{abaed6db-61f7-4695-b043-4b9dae65c47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" dT="2025-11-05T03:43:07.00" personId="{abaed6db-61f7-4695-b043-4b9dae65c47e}" id="{4a9b1d64-4787-489b-b053-33fc35f727e0}" done="0">
    <x18tc:text xml:space="preserve">Lịch kt check: không thấy note checkin - checkout của phiên live TTS ngày 10-11/10</x18tc:text>
  </x18tc:threadedComment>
  <x18tc:threadedComment ref="C84" dT="2025-11-05T03:37:04.00" personId="{abaed6db-61f7-4695-b043-4b9dae65c47e}" id="{c3356043-1a8c-4825-90d9-607baff79763}" done="0">
    <x18tc:text xml:space="preserve">KT check ngày 29/10
Checkin: 22:00
Checkout: 24:15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sVfLGyEiPjqQZ8Dk_guSkLXQraYdQGRI/view?usp=drive_link" TargetMode="External"/><Relationship Id="rId22" Type="http://schemas.openxmlformats.org/officeDocument/2006/relationships/hyperlink" Target="https://drive.google.com/file/d/15X-c7DQEDFcVhEB1ANhavJqFIt1SK5tD/view?usp=drive_link" TargetMode="External"/><Relationship Id="rId21" Type="http://schemas.openxmlformats.org/officeDocument/2006/relationships/hyperlink" Target="https://drive.google.com/file/d/170emWDW2imNw4WLAAujTQD9xXycxULOV/view?usp=drive_link" TargetMode="External"/><Relationship Id="rId24" Type="http://schemas.openxmlformats.org/officeDocument/2006/relationships/hyperlink" Target="https://drive.google.com/file/d/170emWDW2imNw4WLAAujTQD9xXycxULOV/view?usp=drive_link" TargetMode="External"/><Relationship Id="rId23" Type="http://schemas.openxmlformats.org/officeDocument/2006/relationships/hyperlink" Target="https://drive.google.com/file/d/1p3RuCa2cmoTS2uBE5xokzwaNvAr-daXt/view?usp=drive_link" TargetMode="External"/><Relationship Id="rId1" Type="http://schemas.openxmlformats.org/officeDocument/2006/relationships/hyperlink" Target="https://drive.google.com/file/d/1p3RuCa2cmoTS2uBE5xokzwaNvAr-daXt/view?usp=drive_link" TargetMode="External"/><Relationship Id="rId2" Type="http://schemas.openxmlformats.org/officeDocument/2006/relationships/hyperlink" Target="https://drive.google.com/file/d/1p3RuCa2cmoTS2uBE5xokzwaNvAr-daXt/view?usp=drive_link" TargetMode="External"/><Relationship Id="rId3" Type="http://schemas.openxmlformats.org/officeDocument/2006/relationships/hyperlink" Target="https://drive.google.com/file/d/170emWDW2imNw4WLAAujTQD9xXycxULOV/view?usp=drive_link" TargetMode="External"/><Relationship Id="rId4" Type="http://schemas.openxmlformats.org/officeDocument/2006/relationships/hyperlink" Target="https://drive.google.com/file/d/1p3RuCa2cmoTS2uBE5xokzwaNvAr-daXt/view?usp=drive_link" TargetMode="External"/><Relationship Id="rId9" Type="http://schemas.openxmlformats.org/officeDocument/2006/relationships/hyperlink" Target="https://drive.google.com/file/d/1p3RuCa2cmoTS2uBE5xokzwaNvAr-daXt/view?usp=drive_link" TargetMode="External"/><Relationship Id="rId26" Type="http://schemas.openxmlformats.org/officeDocument/2006/relationships/hyperlink" Target="https://drive.google.com/file/d/1p3RuCa2cmoTS2uBE5xokzwaNvAr-daXt/view?usp=drive_link" TargetMode="External"/><Relationship Id="rId25" Type="http://schemas.openxmlformats.org/officeDocument/2006/relationships/hyperlink" Target="https://drive.google.com/file/d/15X-c7DQEDFcVhEB1ANhavJqFIt1SK5tD/view?usp=drive_link" TargetMode="External"/><Relationship Id="rId28" Type="http://schemas.openxmlformats.org/officeDocument/2006/relationships/hyperlink" Target="https://drive.google.com/file/d/1ijU-CblymU342DuUBmtQbtv6VpNqETmy/view?usp=drive_link" TargetMode="External"/><Relationship Id="rId27" Type="http://schemas.openxmlformats.org/officeDocument/2006/relationships/hyperlink" Target="https://drive.google.com/file/d/1ijU-CblymU342DuUBmtQbtv6VpNqETmy/view?usp=drive_link" TargetMode="External"/><Relationship Id="rId5" Type="http://schemas.openxmlformats.org/officeDocument/2006/relationships/hyperlink" Target="https://drive.google.com/file/d/1qHXuDx2HMkby4nuaAvmfLyW5w3Ub0lTw/view?usp=drive_link" TargetMode="External"/><Relationship Id="rId6" Type="http://schemas.openxmlformats.org/officeDocument/2006/relationships/hyperlink" Target="https://drive.google.com/file/d/170emWDW2imNw4WLAAujTQD9xXycxULOV/view?usp=drive_link" TargetMode="External"/><Relationship Id="rId29" Type="http://schemas.openxmlformats.org/officeDocument/2006/relationships/hyperlink" Target="https://drive.google.com/file/d/1p3RuCa2cmoTS2uBE5xokzwaNvAr-daXt/view?usp=drive_link" TargetMode="External"/><Relationship Id="rId7" Type="http://schemas.openxmlformats.org/officeDocument/2006/relationships/hyperlink" Target="https://drive.google.com/file/d/1ijU-CblymU342DuUBmtQbtv6VpNqETmy/view?usp=drive_link" TargetMode="External"/><Relationship Id="rId8" Type="http://schemas.openxmlformats.org/officeDocument/2006/relationships/hyperlink" Target="https://drive.google.com/file/d/1qHXuDx2HMkby4nuaAvmfLyW5w3Ub0lTw/view?usp=drive_link" TargetMode="External"/><Relationship Id="rId31" Type="http://schemas.openxmlformats.org/officeDocument/2006/relationships/drawing" Target="../drawings/drawing12.xml"/><Relationship Id="rId30" Type="http://schemas.openxmlformats.org/officeDocument/2006/relationships/hyperlink" Target="https://drive.google.com/file/d/170emWDW2imNw4WLAAujTQD9xXycxULOV/view?usp=drive_link" TargetMode="External"/><Relationship Id="rId11" Type="http://schemas.openxmlformats.org/officeDocument/2006/relationships/hyperlink" Target="https://drive.google.com/file/d/170emWDW2imNw4WLAAujTQD9xXycxULOV/view?usp=drive_link" TargetMode="External"/><Relationship Id="rId10" Type="http://schemas.openxmlformats.org/officeDocument/2006/relationships/hyperlink" Target="https://drive.google.com/file/d/1sVfLGyEiPjqQZ8Dk_guSkLXQraYdQGRI/view?usp=drive_link" TargetMode="External"/><Relationship Id="rId13" Type="http://schemas.openxmlformats.org/officeDocument/2006/relationships/hyperlink" Target="https://drive.google.com/file/d/1p3RuCa2cmoTS2uBE5xokzwaNvAr-daXt/view?usp=drive_link" TargetMode="External"/><Relationship Id="rId12" Type="http://schemas.openxmlformats.org/officeDocument/2006/relationships/hyperlink" Target="https://drive.google.com/file/d/1ijU-CblymU342DuUBmtQbtv6VpNqETmy/view?usp=drive_link" TargetMode="External"/><Relationship Id="rId15" Type="http://schemas.openxmlformats.org/officeDocument/2006/relationships/hyperlink" Target="https://drive.google.com/file/d/1sVfLGyEiPjqQZ8Dk_guSkLXQraYdQGRI/view?usp=drive_link" TargetMode="External"/><Relationship Id="rId14" Type="http://schemas.openxmlformats.org/officeDocument/2006/relationships/hyperlink" Target="https://drive.google.com/file/d/1_rzwY5CDNjZF01oRPvjj7x73VlUAtFL0/view?usp=drive_link" TargetMode="External"/><Relationship Id="rId17" Type="http://schemas.openxmlformats.org/officeDocument/2006/relationships/hyperlink" Target="https://drive.google.com/file/d/1ijU-CblymU342DuUBmtQbtv6VpNqETmy/view?usp=drive_link" TargetMode="External"/><Relationship Id="rId16" Type="http://schemas.openxmlformats.org/officeDocument/2006/relationships/hyperlink" Target="https://drive.google.com/file/d/1p3RuCa2cmoTS2uBE5xokzwaNvAr-daXt/view?usp=drive_link" TargetMode="External"/><Relationship Id="rId19" Type="http://schemas.openxmlformats.org/officeDocument/2006/relationships/hyperlink" Target="https://drive.google.com/file/d/1p3RuCa2cmoTS2uBE5xokzwaNvAr-daXt/view?usp=drive_link" TargetMode="External"/><Relationship Id="rId18" Type="http://schemas.openxmlformats.org/officeDocument/2006/relationships/hyperlink" Target="https://drive.google.com/file/d/170emWDW2imNw4WLAAujTQD9xXycxULOV/view?usp=drive_link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4.0" topLeftCell="O1" activePane="topRight" state="frozen"/>
      <selection activeCell="P2" sqref="P2" pane="topRight"/>
    </sheetView>
  </sheetViews>
  <sheetFormatPr customHeight="1" defaultColWidth="12.63" defaultRowHeight="15.75"/>
  <cols>
    <col customWidth="1" min="5" max="5" width="29.0"/>
    <col hidden="1" min="9" max="11" width="12.63"/>
    <col customWidth="1" hidden="1" min="12" max="12" width="15.25"/>
    <col hidden="1" min="13" max="25" width="12.63"/>
  </cols>
  <sheetData>
    <row r="1">
      <c r="A1" s="1" t="s">
        <v>0</v>
      </c>
      <c r="C1" s="2"/>
      <c r="D1" s="2"/>
      <c r="E1" s="2"/>
      <c r="F1" s="3"/>
      <c r="G1" s="2"/>
      <c r="H1" s="2"/>
      <c r="I1" s="3"/>
      <c r="J1" s="3"/>
      <c r="K1" s="3"/>
      <c r="L1" s="3"/>
      <c r="M1" s="3"/>
      <c r="N1" s="3"/>
      <c r="R1" s="4" t="s">
        <v>1</v>
      </c>
    </row>
    <row r="2">
      <c r="C2" s="2"/>
      <c r="D2" s="2"/>
      <c r="E2" s="2"/>
      <c r="F2" s="3"/>
      <c r="G2" s="2"/>
      <c r="H2" s="2"/>
      <c r="I2" s="3"/>
      <c r="J2" s="3"/>
      <c r="K2" s="3"/>
      <c r="L2" s="3"/>
      <c r="M2" s="3"/>
      <c r="N2" s="3"/>
      <c r="R2" s="5" t="s">
        <v>2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7" t="s">
        <v>9</v>
      </c>
    </row>
    <row r="3">
      <c r="A3" s="8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9" t="s">
        <v>16</v>
      </c>
      <c r="H3" s="9" t="s">
        <v>17</v>
      </c>
      <c r="I3" s="11" t="s">
        <v>18</v>
      </c>
      <c r="J3" s="11" t="s">
        <v>19</v>
      </c>
      <c r="K3" s="10" t="s">
        <v>20</v>
      </c>
      <c r="L3" s="10" t="s">
        <v>21</v>
      </c>
      <c r="M3" s="10" t="s">
        <v>22</v>
      </c>
      <c r="N3" s="12" t="s">
        <v>23</v>
      </c>
      <c r="R3" s="13">
        <v>1.0</v>
      </c>
      <c r="S3" s="14" t="s">
        <v>24</v>
      </c>
      <c r="T3" s="15">
        <v>45872.0</v>
      </c>
      <c r="U3" s="16" t="s">
        <v>25</v>
      </c>
      <c r="V3" s="16">
        <v>3.0</v>
      </c>
      <c r="W3" s="17"/>
      <c r="X3" s="17"/>
      <c r="Y3" s="18"/>
    </row>
    <row r="4">
      <c r="A4" s="19" t="s">
        <v>26</v>
      </c>
      <c r="B4" s="20">
        <v>45665.0</v>
      </c>
      <c r="C4" s="21" t="s">
        <v>27</v>
      </c>
      <c r="D4" s="22" t="s">
        <v>28</v>
      </c>
      <c r="E4" s="23" t="s">
        <v>29</v>
      </c>
      <c r="F4" s="24">
        <v>4.0</v>
      </c>
      <c r="G4" s="25" t="s">
        <v>30</v>
      </c>
      <c r="H4" s="26"/>
      <c r="I4" s="27"/>
      <c r="J4" s="28"/>
      <c r="K4" s="29"/>
      <c r="L4" s="30">
        <v>30.0</v>
      </c>
      <c r="M4" s="31">
        <v>120.0</v>
      </c>
      <c r="N4" s="32">
        <f>SUM(M4:M7)</f>
        <v>1095</v>
      </c>
      <c r="R4" s="33"/>
      <c r="S4" s="34"/>
      <c r="T4" s="35">
        <v>45875.0</v>
      </c>
      <c r="U4" s="36" t="s">
        <v>31</v>
      </c>
      <c r="V4" s="36">
        <v>4.0</v>
      </c>
      <c r="W4" s="37"/>
      <c r="X4" s="37"/>
      <c r="Y4" s="38"/>
    </row>
    <row r="5">
      <c r="A5" s="33"/>
      <c r="B5" s="39"/>
      <c r="C5" s="40" t="s">
        <v>32</v>
      </c>
      <c r="D5" s="41" t="s">
        <v>33</v>
      </c>
      <c r="E5" s="42"/>
      <c r="F5" s="43">
        <v>45781.0</v>
      </c>
      <c r="G5" s="44" t="s">
        <v>30</v>
      </c>
      <c r="H5" s="45"/>
      <c r="I5" s="46"/>
      <c r="J5" s="47"/>
      <c r="K5" s="48"/>
      <c r="L5" s="49"/>
      <c r="M5" s="50"/>
      <c r="N5" s="51"/>
      <c r="R5" s="33"/>
      <c r="S5" s="34"/>
      <c r="T5" s="35">
        <v>45876.0</v>
      </c>
      <c r="U5" s="36" t="s">
        <v>34</v>
      </c>
      <c r="V5" s="36">
        <v>3.0</v>
      </c>
      <c r="W5" s="37"/>
      <c r="X5" s="37"/>
      <c r="Y5" s="38"/>
    </row>
    <row r="6">
      <c r="A6" s="33"/>
      <c r="B6" s="39"/>
      <c r="C6" s="52" t="s">
        <v>35</v>
      </c>
      <c r="D6" s="53" t="s">
        <v>36</v>
      </c>
      <c r="E6" s="54"/>
      <c r="F6" s="55">
        <v>45780.0</v>
      </c>
      <c r="G6" s="44" t="s">
        <v>30</v>
      </c>
      <c r="H6" s="45"/>
      <c r="I6" s="46"/>
      <c r="J6" s="47"/>
      <c r="K6" s="48">
        <v>150.0</v>
      </c>
      <c r="L6" s="49"/>
      <c r="M6" s="50">
        <v>525.0</v>
      </c>
      <c r="N6" s="51"/>
      <c r="R6" s="33"/>
      <c r="S6" s="34"/>
      <c r="T6" s="35">
        <v>45882.0</v>
      </c>
      <c r="U6" s="36" t="s">
        <v>37</v>
      </c>
      <c r="V6" s="36">
        <v>4.0</v>
      </c>
      <c r="W6" s="37"/>
      <c r="X6" s="37"/>
      <c r="Y6" s="38"/>
    </row>
    <row r="7">
      <c r="A7" s="56"/>
      <c r="B7" s="57"/>
      <c r="C7" s="58" t="s">
        <v>38</v>
      </c>
      <c r="D7" s="59" t="s">
        <v>39</v>
      </c>
      <c r="E7" s="60"/>
      <c r="F7" s="61">
        <v>3.0</v>
      </c>
      <c r="G7" s="62" t="s">
        <v>30</v>
      </c>
      <c r="H7" s="63"/>
      <c r="I7" s="64"/>
      <c r="J7" s="65"/>
      <c r="K7" s="66">
        <v>150.0</v>
      </c>
      <c r="L7" s="67"/>
      <c r="M7" s="68">
        <f>K7*F7</f>
        <v>450</v>
      </c>
      <c r="N7" s="69"/>
      <c r="R7" s="33"/>
      <c r="S7" s="34"/>
      <c r="T7" s="35">
        <v>45889.0</v>
      </c>
      <c r="U7" s="36" t="s">
        <v>40</v>
      </c>
      <c r="V7" s="36">
        <v>4.0</v>
      </c>
      <c r="W7" s="37"/>
      <c r="X7" s="37"/>
      <c r="Y7" s="38"/>
    </row>
    <row r="8">
      <c r="A8" s="19" t="s">
        <v>41</v>
      </c>
      <c r="B8" s="20">
        <v>45696.0</v>
      </c>
      <c r="C8" s="21" t="s">
        <v>27</v>
      </c>
      <c r="D8" s="70" t="s">
        <v>28</v>
      </c>
      <c r="E8" s="22" t="s">
        <v>42</v>
      </c>
      <c r="F8" s="71">
        <v>4.0</v>
      </c>
      <c r="G8" s="25" t="s">
        <v>30</v>
      </c>
      <c r="H8" s="72"/>
      <c r="I8" s="27"/>
      <c r="J8" s="28"/>
      <c r="K8" s="29"/>
      <c r="L8" s="30">
        <v>30.0</v>
      </c>
      <c r="M8" s="31">
        <f>L8*F8</f>
        <v>120</v>
      </c>
      <c r="N8" s="32">
        <f>SUM(M8:M11)</f>
        <v>1170</v>
      </c>
      <c r="R8" s="33"/>
      <c r="S8" s="34"/>
      <c r="T8" s="35">
        <v>45891.0</v>
      </c>
      <c r="U8" s="36" t="s">
        <v>31</v>
      </c>
      <c r="V8" s="36">
        <v>4.0</v>
      </c>
      <c r="W8" s="37"/>
      <c r="X8" s="37"/>
      <c r="Y8" s="38"/>
    </row>
    <row r="9">
      <c r="A9" s="33"/>
      <c r="B9" s="39"/>
      <c r="C9" s="73" t="s">
        <v>40</v>
      </c>
      <c r="D9" s="74" t="s">
        <v>43</v>
      </c>
      <c r="E9" s="75"/>
      <c r="F9" s="76">
        <v>4.0</v>
      </c>
      <c r="G9" s="44" t="s">
        <v>30</v>
      </c>
      <c r="H9" s="77"/>
      <c r="I9" s="46"/>
      <c r="J9" s="47"/>
      <c r="K9" s="48">
        <v>150.0</v>
      </c>
      <c r="L9" s="49"/>
      <c r="M9" s="50">
        <f>K9*F9</f>
        <v>600</v>
      </c>
      <c r="N9" s="51"/>
      <c r="R9" s="33"/>
      <c r="S9" s="34"/>
      <c r="T9" s="35">
        <v>45898.0</v>
      </c>
      <c r="U9" s="36" t="s">
        <v>44</v>
      </c>
      <c r="V9" s="36">
        <v>4.0</v>
      </c>
      <c r="W9" s="37"/>
      <c r="X9" s="37"/>
      <c r="Y9" s="38"/>
    </row>
    <row r="10">
      <c r="A10" s="33"/>
      <c r="B10" s="39"/>
      <c r="C10" s="40" t="s">
        <v>31</v>
      </c>
      <c r="D10" s="78" t="s">
        <v>33</v>
      </c>
      <c r="E10" s="42"/>
      <c r="F10" s="79">
        <v>4.0</v>
      </c>
      <c r="G10" s="44" t="s">
        <v>30</v>
      </c>
      <c r="H10" s="77"/>
      <c r="I10" s="46"/>
      <c r="J10" s="47"/>
      <c r="K10" s="48"/>
      <c r="L10" s="49"/>
      <c r="M10" s="50"/>
      <c r="N10" s="51"/>
      <c r="R10" s="56"/>
      <c r="S10" s="80"/>
      <c r="T10" s="81">
        <v>45900.0</v>
      </c>
      <c r="U10" s="82" t="s">
        <v>31</v>
      </c>
      <c r="V10" s="82">
        <v>4.0</v>
      </c>
      <c r="W10" s="83"/>
      <c r="X10" s="83"/>
      <c r="Y10" s="84"/>
    </row>
    <row r="11">
      <c r="A11" s="56"/>
      <c r="B11" s="57"/>
      <c r="C11" s="85" t="s">
        <v>38</v>
      </c>
      <c r="D11" s="86" t="s">
        <v>36</v>
      </c>
      <c r="E11" s="87"/>
      <c r="F11" s="88">
        <v>3.0</v>
      </c>
      <c r="G11" s="62" t="s">
        <v>30</v>
      </c>
      <c r="H11" s="89"/>
      <c r="I11" s="64"/>
      <c r="J11" s="65"/>
      <c r="K11" s="66">
        <v>150.0</v>
      </c>
      <c r="L11" s="67"/>
      <c r="M11" s="68">
        <f>K11*F11</f>
        <v>450</v>
      </c>
      <c r="N11" s="69"/>
      <c r="R11" s="13">
        <v>2.0</v>
      </c>
      <c r="S11" s="14" t="s">
        <v>39</v>
      </c>
      <c r="T11" s="15">
        <v>45870.0</v>
      </c>
      <c r="U11" s="16" t="s">
        <v>38</v>
      </c>
      <c r="V11" s="16">
        <v>3.0</v>
      </c>
      <c r="W11" s="90">
        <v>150.0</v>
      </c>
      <c r="X11" s="90">
        <f t="shared" ref="X11:X70" si="1">V11*W11</f>
        <v>450</v>
      </c>
      <c r="Y11" s="91">
        <f>sum(X11:X28)</f>
        <v>9600</v>
      </c>
    </row>
    <row r="12">
      <c r="A12" s="19" t="s">
        <v>45</v>
      </c>
      <c r="B12" s="20">
        <v>45724.0</v>
      </c>
      <c r="C12" s="92" t="s">
        <v>27</v>
      </c>
      <c r="D12" s="93" t="s">
        <v>33</v>
      </c>
      <c r="E12" s="94" t="s">
        <v>46</v>
      </c>
      <c r="F12" s="95">
        <v>4.0</v>
      </c>
      <c r="G12" s="25" t="s">
        <v>30</v>
      </c>
      <c r="H12" s="72"/>
      <c r="I12" s="27"/>
      <c r="J12" s="28"/>
      <c r="K12" s="29"/>
      <c r="L12" s="96" t="s">
        <v>47</v>
      </c>
      <c r="M12" s="31"/>
      <c r="N12" s="32">
        <f>SUM(M12:M15)</f>
        <v>1970</v>
      </c>
      <c r="R12" s="33"/>
      <c r="S12" s="34"/>
      <c r="T12" s="35">
        <v>45875.0</v>
      </c>
      <c r="U12" s="36" t="s">
        <v>48</v>
      </c>
      <c r="V12" s="36">
        <v>4.0</v>
      </c>
      <c r="W12" s="97">
        <v>150.0</v>
      </c>
      <c r="X12" s="97">
        <f t="shared" si="1"/>
        <v>600</v>
      </c>
      <c r="Y12" s="98"/>
    </row>
    <row r="13">
      <c r="A13" s="33"/>
      <c r="B13" s="39"/>
      <c r="C13" s="99" t="s">
        <v>40</v>
      </c>
      <c r="D13" s="100" t="s">
        <v>49</v>
      </c>
      <c r="E13" s="101"/>
      <c r="F13" s="102">
        <v>4.0</v>
      </c>
      <c r="G13" s="44" t="s">
        <v>30</v>
      </c>
      <c r="H13" s="77"/>
      <c r="I13" s="46"/>
      <c r="J13" s="47"/>
      <c r="K13" s="48">
        <v>230.0</v>
      </c>
      <c r="L13" s="49"/>
      <c r="M13" s="50">
        <f t="shared" ref="M13:M15" si="2">K13*F13</f>
        <v>920</v>
      </c>
      <c r="N13" s="51"/>
      <c r="R13" s="33"/>
      <c r="S13" s="34"/>
      <c r="T13" s="35">
        <v>45877.0</v>
      </c>
      <c r="U13" s="36" t="s">
        <v>50</v>
      </c>
      <c r="V13" s="36">
        <v>4.0</v>
      </c>
      <c r="W13" s="97">
        <v>150.0</v>
      </c>
      <c r="X13" s="97">
        <f t="shared" si="1"/>
        <v>600</v>
      </c>
      <c r="Y13" s="98"/>
    </row>
    <row r="14">
      <c r="A14" s="33"/>
      <c r="B14" s="39"/>
      <c r="C14" s="73" t="s">
        <v>31</v>
      </c>
      <c r="D14" s="103" t="s">
        <v>43</v>
      </c>
      <c r="E14" s="75"/>
      <c r="F14" s="76">
        <v>4.0</v>
      </c>
      <c r="G14" s="44" t="s">
        <v>30</v>
      </c>
      <c r="H14" s="77"/>
      <c r="I14" s="46"/>
      <c r="J14" s="47"/>
      <c r="K14" s="48">
        <v>150.0</v>
      </c>
      <c r="L14" s="49"/>
      <c r="M14" s="50">
        <f t="shared" si="2"/>
        <v>600</v>
      </c>
      <c r="N14" s="51"/>
      <c r="R14" s="33"/>
      <c r="S14" s="34"/>
      <c r="T14" s="35">
        <v>45878.0</v>
      </c>
      <c r="U14" s="36" t="s">
        <v>51</v>
      </c>
      <c r="V14" s="36">
        <v>3.0</v>
      </c>
      <c r="W14" s="97">
        <v>150.0</v>
      </c>
      <c r="X14" s="97">
        <f t="shared" si="1"/>
        <v>450</v>
      </c>
      <c r="Y14" s="98"/>
    </row>
    <row r="15">
      <c r="A15" s="56"/>
      <c r="B15" s="57"/>
      <c r="C15" s="85" t="s">
        <v>38</v>
      </c>
      <c r="D15" s="86" t="s">
        <v>36</v>
      </c>
      <c r="E15" s="87"/>
      <c r="F15" s="104">
        <v>3.0</v>
      </c>
      <c r="G15" s="62" t="s">
        <v>30</v>
      </c>
      <c r="H15" s="89"/>
      <c r="I15" s="64"/>
      <c r="J15" s="65"/>
      <c r="K15" s="66">
        <v>150.0</v>
      </c>
      <c r="L15" s="67"/>
      <c r="M15" s="68">
        <f t="shared" si="2"/>
        <v>450</v>
      </c>
      <c r="N15" s="69"/>
      <c r="R15" s="33"/>
      <c r="S15" s="34"/>
      <c r="T15" s="35">
        <v>45879.0</v>
      </c>
      <c r="U15" s="36" t="s">
        <v>48</v>
      </c>
      <c r="V15" s="36">
        <v>4.0</v>
      </c>
      <c r="W15" s="97">
        <v>150.0</v>
      </c>
      <c r="X15" s="97">
        <f t="shared" si="1"/>
        <v>600</v>
      </c>
      <c r="Y15" s="98"/>
    </row>
    <row r="16">
      <c r="R16" s="33"/>
      <c r="S16" s="34"/>
      <c r="T16" s="35">
        <v>45882.0</v>
      </c>
      <c r="U16" s="36" t="s">
        <v>52</v>
      </c>
      <c r="V16" s="36">
        <v>4.0</v>
      </c>
      <c r="W16" s="97">
        <v>150.0</v>
      </c>
      <c r="X16" s="97">
        <f t="shared" si="1"/>
        <v>600</v>
      </c>
      <c r="Y16" s="98"/>
    </row>
    <row r="17">
      <c r="R17" s="33"/>
      <c r="S17" s="34"/>
      <c r="T17" s="35">
        <v>45884.0</v>
      </c>
      <c r="U17" s="36" t="s">
        <v>48</v>
      </c>
      <c r="V17" s="36">
        <v>4.0</v>
      </c>
      <c r="W17" s="97">
        <v>150.0</v>
      </c>
      <c r="X17" s="97">
        <f t="shared" si="1"/>
        <v>600</v>
      </c>
      <c r="Y17" s="98"/>
    </row>
    <row r="18">
      <c r="A18" s="1" t="s">
        <v>53</v>
      </c>
      <c r="R18" s="33"/>
      <c r="S18" s="34"/>
      <c r="T18" s="35">
        <v>45885.0</v>
      </c>
      <c r="U18" s="36" t="s">
        <v>48</v>
      </c>
      <c r="V18" s="36">
        <v>4.0</v>
      </c>
      <c r="W18" s="97">
        <v>150.0</v>
      </c>
      <c r="X18" s="97">
        <f t="shared" si="1"/>
        <v>600</v>
      </c>
      <c r="Y18" s="98"/>
    </row>
    <row r="19">
      <c r="R19" s="33"/>
      <c r="S19" s="34"/>
      <c r="T19" s="35">
        <v>45886.0</v>
      </c>
      <c r="U19" s="36" t="s">
        <v>48</v>
      </c>
      <c r="V19" s="36">
        <v>4.0</v>
      </c>
      <c r="W19" s="97">
        <v>150.0</v>
      </c>
      <c r="X19" s="97">
        <f t="shared" si="1"/>
        <v>600</v>
      </c>
      <c r="Y19" s="98"/>
    </row>
    <row r="20">
      <c r="A20" s="8" t="s">
        <v>10</v>
      </c>
      <c r="B20" s="9" t="s">
        <v>11</v>
      </c>
      <c r="C20" s="9" t="s">
        <v>12</v>
      </c>
      <c r="D20" s="9" t="s">
        <v>13</v>
      </c>
      <c r="E20" s="9" t="s">
        <v>14</v>
      </c>
      <c r="F20" s="10" t="s">
        <v>15</v>
      </c>
      <c r="G20" s="9" t="s">
        <v>16</v>
      </c>
      <c r="H20" s="9" t="s">
        <v>17</v>
      </c>
      <c r="I20" s="11" t="s">
        <v>18</v>
      </c>
      <c r="J20" s="11" t="s">
        <v>19</v>
      </c>
      <c r="K20" s="10" t="s">
        <v>20</v>
      </c>
      <c r="L20" s="10" t="s">
        <v>21</v>
      </c>
      <c r="M20" s="10" t="s">
        <v>22</v>
      </c>
      <c r="N20" s="12" t="s">
        <v>23</v>
      </c>
      <c r="R20" s="33"/>
      <c r="S20" s="34"/>
      <c r="T20" s="35">
        <v>45888.0</v>
      </c>
      <c r="U20" s="36" t="s">
        <v>54</v>
      </c>
      <c r="V20" s="36">
        <v>3.0</v>
      </c>
      <c r="W20" s="97">
        <v>150.0</v>
      </c>
      <c r="X20" s="97">
        <f t="shared" si="1"/>
        <v>450</v>
      </c>
      <c r="Y20" s="98"/>
    </row>
    <row r="21">
      <c r="A21" s="105" t="s">
        <v>55</v>
      </c>
      <c r="B21" s="106" t="s">
        <v>56</v>
      </c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8"/>
      <c r="R21" s="33"/>
      <c r="S21" s="34"/>
      <c r="T21" s="35">
        <v>45889.0</v>
      </c>
      <c r="U21" s="36" t="s">
        <v>31</v>
      </c>
      <c r="V21" s="36">
        <v>4.0</v>
      </c>
      <c r="W21" s="97">
        <v>150.0</v>
      </c>
      <c r="X21" s="97">
        <f t="shared" si="1"/>
        <v>600</v>
      </c>
      <c r="Y21" s="98"/>
    </row>
    <row r="22">
      <c r="A22" s="33"/>
      <c r="N22" s="98"/>
      <c r="R22" s="33"/>
      <c r="S22" s="34"/>
      <c r="T22" s="35">
        <v>45891.0</v>
      </c>
      <c r="U22" s="36" t="s">
        <v>38</v>
      </c>
      <c r="V22" s="36">
        <v>3.0</v>
      </c>
      <c r="W22" s="97">
        <v>150.0</v>
      </c>
      <c r="X22" s="97">
        <f t="shared" si="1"/>
        <v>450</v>
      </c>
      <c r="Y22" s="98"/>
    </row>
    <row r="23">
      <c r="A23" s="33"/>
      <c r="N23" s="98"/>
      <c r="R23" s="33"/>
      <c r="S23" s="34"/>
      <c r="T23" s="35">
        <v>45893.0</v>
      </c>
      <c r="U23" s="36" t="s">
        <v>31</v>
      </c>
      <c r="V23" s="36">
        <v>4.0</v>
      </c>
      <c r="W23" s="97">
        <v>150.0</v>
      </c>
      <c r="X23" s="97">
        <f t="shared" si="1"/>
        <v>600</v>
      </c>
      <c r="Y23" s="98"/>
    </row>
    <row r="24">
      <c r="A24" s="56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10"/>
      <c r="R24" s="33"/>
      <c r="S24" s="34"/>
      <c r="T24" s="35">
        <v>45894.0</v>
      </c>
      <c r="U24" s="36" t="s">
        <v>57</v>
      </c>
      <c r="V24" s="36">
        <v>2.0</v>
      </c>
      <c r="W24" s="97">
        <v>150.0</v>
      </c>
      <c r="X24" s="97">
        <f t="shared" si="1"/>
        <v>300</v>
      </c>
      <c r="Y24" s="98"/>
    </row>
    <row r="25">
      <c r="A25" s="111" t="s">
        <v>58</v>
      </c>
      <c r="B25" s="112">
        <v>45874.0</v>
      </c>
      <c r="C25" s="113" t="s">
        <v>59</v>
      </c>
      <c r="D25" s="114" t="s">
        <v>33</v>
      </c>
      <c r="E25" s="115" t="s">
        <v>60</v>
      </c>
      <c r="F25" s="116">
        <v>5.0</v>
      </c>
      <c r="G25" s="117" t="s">
        <v>30</v>
      </c>
      <c r="H25" s="118" t="s">
        <v>61</v>
      </c>
      <c r="I25" s="119"/>
      <c r="J25" s="120"/>
      <c r="K25" s="121"/>
      <c r="L25" s="122"/>
      <c r="M25" s="123"/>
      <c r="N25" s="124"/>
      <c r="R25" s="33"/>
      <c r="S25" s="34"/>
      <c r="T25" s="35">
        <v>45895.0</v>
      </c>
      <c r="U25" s="36" t="s">
        <v>38</v>
      </c>
      <c r="V25" s="36">
        <v>3.0</v>
      </c>
      <c r="W25" s="97">
        <v>150.0</v>
      </c>
      <c r="X25" s="97">
        <f t="shared" si="1"/>
        <v>450</v>
      </c>
      <c r="Y25" s="98"/>
    </row>
    <row r="26">
      <c r="A26" s="105" t="s">
        <v>62</v>
      </c>
      <c r="B26" s="125">
        <v>45875.0</v>
      </c>
      <c r="C26" s="126" t="s">
        <v>27</v>
      </c>
      <c r="D26" s="127" t="s">
        <v>63</v>
      </c>
      <c r="E26" s="128" t="s">
        <v>29</v>
      </c>
      <c r="F26" s="129">
        <v>4.0</v>
      </c>
      <c r="G26" s="130" t="s">
        <v>30</v>
      </c>
      <c r="H26" s="131" t="s">
        <v>61</v>
      </c>
      <c r="I26" s="132"/>
      <c r="J26" s="133"/>
      <c r="K26" s="134"/>
      <c r="L26" s="135">
        <v>30.0</v>
      </c>
      <c r="M26" s="136">
        <f>L26*F26</f>
        <v>120</v>
      </c>
      <c r="N26" s="137">
        <f>sum(M26:M29)</f>
        <v>2220</v>
      </c>
      <c r="R26" s="33"/>
      <c r="S26" s="34"/>
      <c r="T26" s="35">
        <v>45898.0</v>
      </c>
      <c r="U26" s="36" t="s">
        <v>64</v>
      </c>
      <c r="V26" s="36">
        <v>5.0</v>
      </c>
      <c r="W26" s="97">
        <v>150.0</v>
      </c>
      <c r="X26" s="97">
        <f t="shared" si="1"/>
        <v>750</v>
      </c>
      <c r="Y26" s="98"/>
    </row>
    <row r="27">
      <c r="A27" s="33"/>
      <c r="B27" s="39"/>
      <c r="C27" s="138" t="s">
        <v>40</v>
      </c>
      <c r="D27" s="139" t="s">
        <v>43</v>
      </c>
      <c r="E27" s="75"/>
      <c r="F27" s="140">
        <v>4.0</v>
      </c>
      <c r="G27" s="141" t="s">
        <v>30</v>
      </c>
      <c r="H27" s="142"/>
      <c r="I27" s="143"/>
      <c r="J27" s="144"/>
      <c r="K27" s="97">
        <v>150.0</v>
      </c>
      <c r="L27" s="145"/>
      <c r="M27" s="146">
        <f t="shared" ref="M27:M29" si="3">K27*F27</f>
        <v>600</v>
      </c>
      <c r="N27" s="51"/>
      <c r="R27" s="33"/>
      <c r="S27" s="34"/>
      <c r="T27" s="35">
        <v>45899.0</v>
      </c>
      <c r="U27" s="36" t="s">
        <v>38</v>
      </c>
      <c r="V27" s="36">
        <v>3.0</v>
      </c>
      <c r="W27" s="97">
        <v>150.0</v>
      </c>
      <c r="X27" s="97">
        <f t="shared" si="1"/>
        <v>450</v>
      </c>
      <c r="Y27" s="98"/>
    </row>
    <row r="28">
      <c r="A28" s="33"/>
      <c r="B28" s="39"/>
      <c r="C28" s="147" t="s">
        <v>31</v>
      </c>
      <c r="D28" s="148" t="s">
        <v>39</v>
      </c>
      <c r="E28" s="148" t="s">
        <v>65</v>
      </c>
      <c r="F28" s="149">
        <v>4.0</v>
      </c>
      <c r="G28" s="150" t="s">
        <v>30</v>
      </c>
      <c r="H28" s="142"/>
      <c r="I28" s="143"/>
      <c r="J28" s="144"/>
      <c r="K28" s="97">
        <v>150.0</v>
      </c>
      <c r="L28" s="151" t="s">
        <v>66</v>
      </c>
      <c r="M28" s="146">
        <f t="shared" si="3"/>
        <v>600</v>
      </c>
      <c r="N28" s="51"/>
      <c r="R28" s="56"/>
      <c r="S28" s="80"/>
      <c r="T28" s="81">
        <v>45900.0</v>
      </c>
      <c r="U28" s="82" t="s">
        <v>51</v>
      </c>
      <c r="V28" s="82">
        <v>3.0</v>
      </c>
      <c r="W28" s="152">
        <v>150.0</v>
      </c>
      <c r="X28" s="152">
        <f t="shared" si="1"/>
        <v>450</v>
      </c>
      <c r="Y28" s="110"/>
    </row>
    <row r="29">
      <c r="A29" s="33"/>
      <c r="B29" s="39"/>
      <c r="C29" s="153" t="s">
        <v>38</v>
      </c>
      <c r="D29" s="154" t="s">
        <v>67</v>
      </c>
      <c r="E29" s="155"/>
      <c r="F29" s="156">
        <v>3.0</v>
      </c>
      <c r="G29" s="157" t="s">
        <v>30</v>
      </c>
      <c r="H29" s="158"/>
      <c r="I29" s="159"/>
      <c r="J29" s="160"/>
      <c r="K29" s="161">
        <v>300.0</v>
      </c>
      <c r="L29" s="162"/>
      <c r="M29" s="163">
        <f t="shared" si="3"/>
        <v>900</v>
      </c>
      <c r="N29" s="164"/>
      <c r="R29" s="165">
        <v>3.0</v>
      </c>
      <c r="S29" s="166" t="s">
        <v>68</v>
      </c>
      <c r="T29" s="15">
        <v>45870.0</v>
      </c>
      <c r="U29" s="16" t="s">
        <v>69</v>
      </c>
      <c r="V29" s="16">
        <v>3.5</v>
      </c>
      <c r="W29" s="90">
        <v>150.0</v>
      </c>
      <c r="X29" s="90">
        <f t="shared" si="1"/>
        <v>525</v>
      </c>
      <c r="Y29" s="91">
        <f>sum(X29:X40)</f>
        <v>5392.5</v>
      </c>
    </row>
    <row r="30">
      <c r="A30" s="33"/>
      <c r="B30" s="39"/>
      <c r="C30" s="167" t="s">
        <v>70</v>
      </c>
      <c r="D30" s="168" t="s">
        <v>71</v>
      </c>
      <c r="E30" s="169" t="s">
        <v>72</v>
      </c>
      <c r="F30" s="170">
        <v>4.0</v>
      </c>
      <c r="G30" s="171" t="s">
        <v>73</v>
      </c>
      <c r="H30" s="172" t="s">
        <v>74</v>
      </c>
      <c r="I30" s="173"/>
      <c r="J30" s="174"/>
      <c r="K30" s="134"/>
      <c r="L30" s="175"/>
      <c r="M30" s="136"/>
      <c r="N30" s="176"/>
      <c r="R30" s="33"/>
      <c r="S30" s="34"/>
      <c r="T30" s="35">
        <v>45871.0</v>
      </c>
      <c r="U30" s="36" t="s">
        <v>38</v>
      </c>
      <c r="V30" s="36">
        <v>3.0</v>
      </c>
      <c r="W30" s="97">
        <v>150.0</v>
      </c>
      <c r="X30" s="97">
        <f t="shared" si="1"/>
        <v>450</v>
      </c>
      <c r="Y30" s="98"/>
    </row>
    <row r="31">
      <c r="A31" s="56"/>
      <c r="B31" s="57"/>
      <c r="C31" s="177" t="s">
        <v>75</v>
      </c>
      <c r="D31" s="178" t="s">
        <v>76</v>
      </c>
      <c r="E31" s="179"/>
      <c r="F31" s="180">
        <v>2.0</v>
      </c>
      <c r="G31" s="181" t="s">
        <v>73</v>
      </c>
      <c r="H31" s="182"/>
      <c r="I31" s="183"/>
      <c r="J31" s="184"/>
      <c r="K31" s="185"/>
      <c r="L31" s="186"/>
      <c r="M31" s="187"/>
      <c r="N31" s="69"/>
      <c r="R31" s="33"/>
      <c r="S31" s="34"/>
      <c r="T31" s="35">
        <v>45872.0</v>
      </c>
      <c r="U31" s="36" t="s">
        <v>38</v>
      </c>
      <c r="V31" s="36">
        <v>3.0</v>
      </c>
      <c r="W31" s="97">
        <v>150.0</v>
      </c>
      <c r="X31" s="97">
        <f t="shared" si="1"/>
        <v>450</v>
      </c>
      <c r="Y31" s="98"/>
    </row>
    <row r="32">
      <c r="A32" s="105" t="s">
        <v>77</v>
      </c>
      <c r="B32" s="188">
        <v>45876.0</v>
      </c>
      <c r="C32" s="189" t="s">
        <v>78</v>
      </c>
      <c r="D32" s="127" t="s">
        <v>63</v>
      </c>
      <c r="E32" s="190" t="s">
        <v>79</v>
      </c>
      <c r="F32" s="129">
        <v>4.0</v>
      </c>
      <c r="G32" s="130" t="s">
        <v>30</v>
      </c>
      <c r="H32" s="191" t="s">
        <v>80</v>
      </c>
      <c r="I32" s="173"/>
      <c r="J32" s="174"/>
      <c r="K32" s="134"/>
      <c r="L32" s="135"/>
      <c r="M32" s="136"/>
      <c r="N32" s="137">
        <f>sum(M32:M34)</f>
        <v>920</v>
      </c>
      <c r="R32" s="33"/>
      <c r="S32" s="34"/>
      <c r="T32" s="35">
        <v>45888.0</v>
      </c>
      <c r="U32" s="36" t="s">
        <v>38</v>
      </c>
      <c r="V32" s="36">
        <v>3.0</v>
      </c>
      <c r="W32" s="97">
        <v>150.0</v>
      </c>
      <c r="X32" s="97">
        <f t="shared" si="1"/>
        <v>450</v>
      </c>
      <c r="Y32" s="98"/>
    </row>
    <row r="33">
      <c r="A33" s="33"/>
      <c r="C33" s="192" t="s">
        <v>50</v>
      </c>
      <c r="D33" s="193" t="s">
        <v>71</v>
      </c>
      <c r="E33" s="194" t="s">
        <v>81</v>
      </c>
      <c r="F33" s="195">
        <v>4.0</v>
      </c>
      <c r="G33" s="196" t="s">
        <v>30</v>
      </c>
      <c r="H33" s="142"/>
      <c r="I33" s="197"/>
      <c r="J33" s="198"/>
      <c r="K33" s="199"/>
      <c r="L33" s="151" t="s">
        <v>66</v>
      </c>
      <c r="M33" s="146"/>
      <c r="N33" s="51"/>
      <c r="R33" s="33"/>
      <c r="S33" s="34"/>
      <c r="T33" s="35">
        <v>45889.0</v>
      </c>
      <c r="U33" s="36" t="s">
        <v>38</v>
      </c>
      <c r="V33" s="36">
        <v>3.0</v>
      </c>
      <c r="W33" s="97">
        <v>150.0</v>
      </c>
      <c r="X33" s="97">
        <f t="shared" si="1"/>
        <v>450</v>
      </c>
      <c r="Y33" s="98"/>
    </row>
    <row r="34">
      <c r="A34" s="56"/>
      <c r="B34" s="109"/>
      <c r="C34" s="200" t="s">
        <v>52</v>
      </c>
      <c r="D34" s="201" t="s">
        <v>82</v>
      </c>
      <c r="E34" s="202" t="s">
        <v>83</v>
      </c>
      <c r="F34" s="203">
        <v>4.0</v>
      </c>
      <c r="G34" s="204" t="s">
        <v>30</v>
      </c>
      <c r="H34" s="182"/>
      <c r="I34" s="205"/>
      <c r="J34" s="206"/>
      <c r="K34" s="152">
        <v>230.0</v>
      </c>
      <c r="L34" s="186"/>
      <c r="M34" s="187">
        <f>K34*F34</f>
        <v>920</v>
      </c>
      <c r="N34" s="69"/>
      <c r="R34" s="33"/>
      <c r="S34" s="34"/>
      <c r="T34" s="35">
        <v>45892.0</v>
      </c>
      <c r="U34" s="36" t="s">
        <v>51</v>
      </c>
      <c r="V34" s="36">
        <v>3.0</v>
      </c>
      <c r="W34" s="97">
        <v>150.0</v>
      </c>
      <c r="X34" s="97">
        <f t="shared" si="1"/>
        <v>450</v>
      </c>
      <c r="Y34" s="98"/>
    </row>
    <row r="35">
      <c r="A35" s="207" t="s">
        <v>26</v>
      </c>
      <c r="B35" s="188">
        <v>45877.0</v>
      </c>
      <c r="C35" s="189" t="s">
        <v>78</v>
      </c>
      <c r="D35" s="127" t="s">
        <v>28</v>
      </c>
      <c r="E35" s="127" t="s">
        <v>79</v>
      </c>
      <c r="F35" s="129">
        <v>4.0</v>
      </c>
      <c r="G35" s="130" t="s">
        <v>30</v>
      </c>
      <c r="H35" s="191" t="s">
        <v>80</v>
      </c>
      <c r="I35" s="173"/>
      <c r="J35" s="208" t="s">
        <v>84</v>
      </c>
      <c r="K35" s="134"/>
      <c r="L35" s="209"/>
      <c r="M35" s="136"/>
      <c r="N35" s="137">
        <f>sum(M35:M37)</f>
        <v>900</v>
      </c>
      <c r="R35" s="33"/>
      <c r="S35" s="34"/>
      <c r="T35" s="35">
        <v>45893.0</v>
      </c>
      <c r="U35" s="36" t="s">
        <v>85</v>
      </c>
      <c r="V35" s="36">
        <v>1.45</v>
      </c>
      <c r="W35" s="97">
        <v>150.0</v>
      </c>
      <c r="X35" s="97">
        <f t="shared" si="1"/>
        <v>217.5</v>
      </c>
      <c r="Y35" s="98"/>
    </row>
    <row r="36">
      <c r="A36" s="33"/>
      <c r="C36" s="210" t="s">
        <v>50</v>
      </c>
      <c r="D36" s="211" t="s">
        <v>39</v>
      </c>
      <c r="E36" s="212" t="s">
        <v>86</v>
      </c>
      <c r="F36" s="213">
        <v>4.0</v>
      </c>
      <c r="G36" s="214" t="s">
        <v>30</v>
      </c>
      <c r="H36" s="142"/>
      <c r="I36" s="159"/>
      <c r="J36" s="160"/>
      <c r="K36" s="97">
        <v>150.0</v>
      </c>
      <c r="L36" s="215">
        <v>30.0</v>
      </c>
      <c r="M36" s="146">
        <f>(K36*F362+(L36*30))</f>
        <v>900</v>
      </c>
      <c r="N36" s="51"/>
      <c r="R36" s="33"/>
      <c r="S36" s="34"/>
      <c r="T36" s="35">
        <v>45894.0</v>
      </c>
      <c r="U36" s="36" t="s">
        <v>87</v>
      </c>
      <c r="V36" s="36">
        <v>3.0</v>
      </c>
      <c r="W36" s="97">
        <v>150.0</v>
      </c>
      <c r="X36" s="97">
        <f t="shared" si="1"/>
        <v>450</v>
      </c>
      <c r="Y36" s="98"/>
    </row>
    <row r="37">
      <c r="A37" s="56"/>
      <c r="B37" s="109"/>
      <c r="C37" s="216" t="s">
        <v>52</v>
      </c>
      <c r="D37" s="217" t="s">
        <v>33</v>
      </c>
      <c r="E37" s="218" t="s">
        <v>83</v>
      </c>
      <c r="F37" s="219">
        <v>4.0</v>
      </c>
      <c r="G37" s="220" t="s">
        <v>30</v>
      </c>
      <c r="H37" s="182"/>
      <c r="I37" s="205"/>
      <c r="J37" s="206"/>
      <c r="K37" s="152"/>
      <c r="L37" s="186"/>
      <c r="M37" s="187"/>
      <c r="N37" s="69"/>
      <c r="R37" s="33"/>
      <c r="S37" s="34"/>
      <c r="T37" s="35">
        <v>45896.0</v>
      </c>
      <c r="U37" s="36" t="s">
        <v>88</v>
      </c>
      <c r="V37" s="36">
        <v>2.0</v>
      </c>
      <c r="W37" s="97">
        <v>150.0</v>
      </c>
      <c r="X37" s="97">
        <f t="shared" si="1"/>
        <v>300</v>
      </c>
      <c r="Y37" s="98"/>
    </row>
    <row r="38">
      <c r="A38" s="207" t="s">
        <v>41</v>
      </c>
      <c r="B38" s="188">
        <v>45878.0</v>
      </c>
      <c r="C38" s="126" t="s">
        <v>27</v>
      </c>
      <c r="D38" s="127" t="s">
        <v>63</v>
      </c>
      <c r="E38" s="127" t="s">
        <v>29</v>
      </c>
      <c r="F38" s="129">
        <v>4.0</v>
      </c>
      <c r="G38" s="130" t="s">
        <v>30</v>
      </c>
      <c r="H38" s="131" t="s">
        <v>61</v>
      </c>
      <c r="I38" s="173"/>
      <c r="J38" s="208" t="s">
        <v>89</v>
      </c>
      <c r="K38" s="134"/>
      <c r="L38" s="135">
        <v>30.0</v>
      </c>
      <c r="M38" s="136">
        <f>L38*F38</f>
        <v>120</v>
      </c>
      <c r="N38" s="137">
        <f>sum(M38:M41)</f>
        <v>1170</v>
      </c>
      <c r="R38" s="33"/>
      <c r="S38" s="34"/>
      <c r="T38" s="35">
        <v>45897.0</v>
      </c>
      <c r="U38" s="36" t="s">
        <v>51</v>
      </c>
      <c r="V38" s="36">
        <v>3.0</v>
      </c>
      <c r="W38" s="97">
        <v>150.0</v>
      </c>
      <c r="X38" s="97">
        <f t="shared" si="1"/>
        <v>450</v>
      </c>
      <c r="Y38" s="98"/>
    </row>
    <row r="39">
      <c r="A39" s="33"/>
      <c r="C39" s="221" t="s">
        <v>40</v>
      </c>
      <c r="D39" s="193" t="s">
        <v>71</v>
      </c>
      <c r="E39" s="222"/>
      <c r="F39" s="195">
        <v>4.0</v>
      </c>
      <c r="G39" s="196" t="s">
        <v>30</v>
      </c>
      <c r="H39" s="142"/>
      <c r="I39" s="197"/>
      <c r="J39" s="223" t="s">
        <v>90</v>
      </c>
      <c r="K39" s="199"/>
      <c r="L39" s="145"/>
      <c r="M39" s="146"/>
      <c r="N39" s="51"/>
      <c r="R39" s="33"/>
      <c r="S39" s="34"/>
      <c r="T39" s="35">
        <v>45899.0</v>
      </c>
      <c r="U39" s="36" t="s">
        <v>48</v>
      </c>
      <c r="V39" s="36">
        <v>4.0</v>
      </c>
      <c r="W39" s="97">
        <v>150.0</v>
      </c>
      <c r="X39" s="97">
        <f t="shared" si="1"/>
        <v>600</v>
      </c>
      <c r="Y39" s="98"/>
    </row>
    <row r="40">
      <c r="A40" s="33"/>
      <c r="C40" s="138" t="s">
        <v>31</v>
      </c>
      <c r="D40" s="139" t="s">
        <v>43</v>
      </c>
      <c r="E40" s="75"/>
      <c r="F40" s="140">
        <v>4.0</v>
      </c>
      <c r="G40" s="141" t="s">
        <v>30</v>
      </c>
      <c r="H40" s="142"/>
      <c r="I40" s="159"/>
      <c r="J40" s="160" t="s">
        <v>91</v>
      </c>
      <c r="K40" s="97">
        <v>150.0</v>
      </c>
      <c r="L40" s="145"/>
      <c r="M40" s="146">
        <f t="shared" ref="M40:M42" si="4">K40*F40</f>
        <v>600</v>
      </c>
      <c r="N40" s="51"/>
      <c r="R40" s="56"/>
      <c r="S40" s="80"/>
      <c r="T40" s="81">
        <v>45900.0</v>
      </c>
      <c r="U40" s="82" t="s">
        <v>40</v>
      </c>
      <c r="V40" s="82">
        <v>4.0</v>
      </c>
      <c r="W40" s="152">
        <v>150.0</v>
      </c>
      <c r="X40" s="152">
        <f t="shared" si="1"/>
        <v>600</v>
      </c>
      <c r="Y40" s="110"/>
    </row>
    <row r="41">
      <c r="A41" s="56"/>
      <c r="B41" s="109"/>
      <c r="C41" s="224" t="s">
        <v>38</v>
      </c>
      <c r="D41" s="225" t="s">
        <v>92</v>
      </c>
      <c r="E41" s="226"/>
      <c r="F41" s="227">
        <v>3.0</v>
      </c>
      <c r="G41" s="228" t="s">
        <v>30</v>
      </c>
      <c r="H41" s="182"/>
      <c r="I41" s="205"/>
      <c r="J41" s="206" t="s">
        <v>93</v>
      </c>
      <c r="K41" s="152">
        <v>150.0</v>
      </c>
      <c r="L41" s="186"/>
      <c r="M41" s="187">
        <f t="shared" si="4"/>
        <v>450</v>
      </c>
      <c r="N41" s="69"/>
      <c r="R41" s="165">
        <v>4.0</v>
      </c>
      <c r="S41" s="166" t="s">
        <v>43</v>
      </c>
      <c r="T41" s="229">
        <v>45871.0</v>
      </c>
      <c r="U41" s="230" t="s">
        <v>94</v>
      </c>
      <c r="V41" s="230">
        <v>4.0</v>
      </c>
      <c r="W41" s="135">
        <v>150.0</v>
      </c>
      <c r="X41" s="231">
        <f t="shared" si="1"/>
        <v>600</v>
      </c>
      <c r="Y41" s="91">
        <f>sum(X41:X56)</f>
        <v>9450</v>
      </c>
    </row>
    <row r="42">
      <c r="A42" s="207" t="s">
        <v>45</v>
      </c>
      <c r="B42" s="188">
        <v>45879.0</v>
      </c>
      <c r="C42" s="232" t="s">
        <v>27</v>
      </c>
      <c r="D42" s="233" t="s">
        <v>43</v>
      </c>
      <c r="E42" s="233"/>
      <c r="F42" s="234">
        <v>4.0</v>
      </c>
      <c r="G42" s="235" t="s">
        <v>30</v>
      </c>
      <c r="H42" s="72"/>
      <c r="I42" s="143"/>
      <c r="J42" s="144" t="s">
        <v>95</v>
      </c>
      <c r="K42" s="97">
        <v>150.0</v>
      </c>
      <c r="L42" s="135"/>
      <c r="M42" s="136">
        <f t="shared" si="4"/>
        <v>600</v>
      </c>
      <c r="N42" s="137">
        <f>sum(M42:M45)</f>
        <v>2796</v>
      </c>
      <c r="R42" s="33"/>
      <c r="S42" s="34"/>
      <c r="T42" s="236">
        <v>45872.0</v>
      </c>
      <c r="U42" s="237" t="s">
        <v>48</v>
      </c>
      <c r="V42" s="237">
        <v>4.0</v>
      </c>
      <c r="W42" s="215">
        <v>150.0</v>
      </c>
      <c r="X42" s="238">
        <f t="shared" si="1"/>
        <v>600</v>
      </c>
      <c r="Y42" s="98"/>
    </row>
    <row r="43">
      <c r="A43" s="33"/>
      <c r="C43" s="221" t="s">
        <v>40</v>
      </c>
      <c r="D43" s="193" t="s">
        <v>42</v>
      </c>
      <c r="E43" s="193"/>
      <c r="F43" s="195">
        <v>4.0</v>
      </c>
      <c r="G43" s="196" t="s">
        <v>30</v>
      </c>
      <c r="H43" s="77"/>
      <c r="I43" s="239"/>
      <c r="J43" s="240" t="s">
        <v>96</v>
      </c>
      <c r="K43" s="97"/>
      <c r="L43" s="215">
        <v>30.0</v>
      </c>
      <c r="M43" s="146">
        <f>L43*F43</f>
        <v>120</v>
      </c>
      <c r="N43" s="51"/>
      <c r="O43" s="241" t="s">
        <v>97</v>
      </c>
      <c r="R43" s="33"/>
      <c r="S43" s="34"/>
      <c r="T43" s="236">
        <v>45875.0</v>
      </c>
      <c r="U43" s="237" t="s">
        <v>40</v>
      </c>
      <c r="V43" s="237">
        <v>4.0</v>
      </c>
      <c r="W43" s="215">
        <v>150.0</v>
      </c>
      <c r="X43" s="238">
        <f t="shared" si="1"/>
        <v>600</v>
      </c>
      <c r="Y43" s="98"/>
    </row>
    <row r="44">
      <c r="A44" s="33"/>
      <c r="C44" s="147" t="s">
        <v>98</v>
      </c>
      <c r="D44" s="148" t="s">
        <v>92</v>
      </c>
      <c r="E44" s="242"/>
      <c r="F44" s="149">
        <v>4.0</v>
      </c>
      <c r="G44" s="150" t="s">
        <v>30</v>
      </c>
      <c r="H44" s="77"/>
      <c r="I44" s="239"/>
      <c r="J44" s="240" t="s">
        <v>99</v>
      </c>
      <c r="K44" s="97">
        <v>150.0</v>
      </c>
      <c r="L44" s="145"/>
      <c r="M44" s="146">
        <f t="shared" ref="M44:M45" si="5">K44*F44</f>
        <v>600</v>
      </c>
      <c r="N44" s="51"/>
      <c r="O44" s="243" t="s">
        <v>100</v>
      </c>
      <c r="R44" s="33"/>
      <c r="S44" s="34"/>
      <c r="T44" s="236">
        <v>45878.0</v>
      </c>
      <c r="U44" s="237" t="s">
        <v>31</v>
      </c>
      <c r="V44" s="237">
        <v>4.0</v>
      </c>
      <c r="W44" s="215">
        <v>150.0</v>
      </c>
      <c r="X44" s="238">
        <f t="shared" si="1"/>
        <v>600</v>
      </c>
      <c r="Y44" s="98"/>
    </row>
    <row r="45">
      <c r="A45" s="56"/>
      <c r="B45" s="109"/>
      <c r="C45" s="244" t="s">
        <v>38</v>
      </c>
      <c r="D45" s="178" t="s">
        <v>101</v>
      </c>
      <c r="E45" s="179"/>
      <c r="F45" s="245">
        <v>3.0</v>
      </c>
      <c r="G45" s="246" t="s">
        <v>30</v>
      </c>
      <c r="H45" s="89"/>
      <c r="I45" s="247"/>
      <c r="J45" s="248"/>
      <c r="K45" s="152">
        <v>492.0</v>
      </c>
      <c r="L45" s="186"/>
      <c r="M45" s="187">
        <f t="shared" si="5"/>
        <v>1476</v>
      </c>
      <c r="N45" s="69"/>
      <c r="R45" s="33"/>
      <c r="S45" s="34"/>
      <c r="T45" s="236">
        <v>45879.0</v>
      </c>
      <c r="U45" s="237" t="s">
        <v>27</v>
      </c>
      <c r="V45" s="237">
        <v>4.0</v>
      </c>
      <c r="W45" s="215">
        <v>150.0</v>
      </c>
      <c r="X45" s="238">
        <f t="shared" si="1"/>
        <v>600</v>
      </c>
      <c r="Y45" s="98"/>
    </row>
    <row r="46">
      <c r="G46" s="249"/>
      <c r="R46" s="33"/>
      <c r="S46" s="34"/>
      <c r="T46" s="236">
        <v>45885.0</v>
      </c>
      <c r="U46" s="237" t="s">
        <v>40</v>
      </c>
      <c r="V46" s="237">
        <v>4.0</v>
      </c>
      <c r="W46" s="215">
        <v>150.0</v>
      </c>
      <c r="X46" s="238">
        <f t="shared" si="1"/>
        <v>600</v>
      </c>
      <c r="Y46" s="98"/>
    </row>
    <row r="47">
      <c r="R47" s="33"/>
      <c r="S47" s="34"/>
      <c r="T47" s="236">
        <v>45886.0</v>
      </c>
      <c r="U47" s="237" t="s">
        <v>40</v>
      </c>
      <c r="V47" s="237">
        <v>4.0</v>
      </c>
      <c r="W47" s="215">
        <v>150.0</v>
      </c>
      <c r="X47" s="238">
        <f t="shared" si="1"/>
        <v>600</v>
      </c>
      <c r="Y47" s="98"/>
    </row>
    <row r="48">
      <c r="A48" s="1" t="s">
        <v>102</v>
      </c>
      <c r="R48" s="33"/>
      <c r="S48" s="34"/>
      <c r="T48" s="236">
        <v>45888.0</v>
      </c>
      <c r="U48" s="237" t="s">
        <v>103</v>
      </c>
      <c r="V48" s="237">
        <v>5.0</v>
      </c>
      <c r="W48" s="215">
        <v>150.0</v>
      </c>
      <c r="X48" s="238">
        <f t="shared" si="1"/>
        <v>750</v>
      </c>
      <c r="Y48" s="98"/>
    </row>
    <row r="49">
      <c r="R49" s="33"/>
      <c r="S49" s="34"/>
      <c r="T49" s="236">
        <v>45889.0</v>
      </c>
      <c r="U49" s="237" t="s">
        <v>40</v>
      </c>
      <c r="V49" s="237">
        <v>4.0</v>
      </c>
      <c r="W49" s="215">
        <v>150.0</v>
      </c>
      <c r="X49" s="238">
        <f t="shared" si="1"/>
        <v>600</v>
      </c>
      <c r="Y49" s="98"/>
    </row>
    <row r="50">
      <c r="A50" s="8" t="s">
        <v>10</v>
      </c>
      <c r="B50" s="9" t="s">
        <v>11</v>
      </c>
      <c r="C50" s="9" t="s">
        <v>12</v>
      </c>
      <c r="D50" s="9" t="s">
        <v>13</v>
      </c>
      <c r="E50" s="9" t="s">
        <v>14</v>
      </c>
      <c r="F50" s="10" t="s">
        <v>15</v>
      </c>
      <c r="G50" s="9" t="s">
        <v>16</v>
      </c>
      <c r="H50" s="9" t="s">
        <v>17</v>
      </c>
      <c r="I50" s="11" t="s">
        <v>18</v>
      </c>
      <c r="J50" s="11" t="s">
        <v>19</v>
      </c>
      <c r="K50" s="10" t="s">
        <v>20</v>
      </c>
      <c r="L50" s="10" t="s">
        <v>21</v>
      </c>
      <c r="M50" s="250" t="s">
        <v>22</v>
      </c>
      <c r="N50" s="251" t="s">
        <v>23</v>
      </c>
      <c r="R50" s="33"/>
      <c r="S50" s="34"/>
      <c r="T50" s="236">
        <v>45891.0</v>
      </c>
      <c r="U50" s="237" t="s">
        <v>31</v>
      </c>
      <c r="V50" s="237">
        <v>4.0</v>
      </c>
      <c r="W50" s="215">
        <v>150.0</v>
      </c>
      <c r="X50" s="238">
        <f t="shared" si="1"/>
        <v>600</v>
      </c>
      <c r="Y50" s="98"/>
    </row>
    <row r="51">
      <c r="A51" s="252" t="s">
        <v>55</v>
      </c>
      <c r="B51" s="253">
        <v>45880.0</v>
      </c>
      <c r="C51" s="254" t="s">
        <v>56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8"/>
      <c r="O51" s="241" t="s">
        <v>104</v>
      </c>
      <c r="R51" s="33"/>
      <c r="S51" s="34"/>
      <c r="T51" s="236">
        <v>45892.0</v>
      </c>
      <c r="U51" s="237" t="s">
        <v>31</v>
      </c>
      <c r="V51" s="237">
        <v>4.0</v>
      </c>
      <c r="W51" s="215">
        <v>150.0</v>
      </c>
      <c r="X51" s="238">
        <f t="shared" si="1"/>
        <v>600</v>
      </c>
      <c r="Y51" s="98"/>
    </row>
    <row r="52">
      <c r="A52" s="33"/>
      <c r="B52" s="39"/>
      <c r="C52" s="255"/>
      <c r="N52" s="98"/>
      <c r="R52" s="33"/>
      <c r="S52" s="34"/>
      <c r="T52" s="236">
        <v>45893.0</v>
      </c>
      <c r="U52" s="237" t="s">
        <v>105</v>
      </c>
      <c r="V52" s="237">
        <v>2.0</v>
      </c>
      <c r="W52" s="215">
        <v>150.0</v>
      </c>
      <c r="X52" s="238">
        <f t="shared" si="1"/>
        <v>300</v>
      </c>
      <c r="Y52" s="98"/>
    </row>
    <row r="53">
      <c r="A53" s="33"/>
      <c r="B53" s="39"/>
      <c r="C53" s="255"/>
      <c r="N53" s="98"/>
      <c r="R53" s="33"/>
      <c r="S53" s="34"/>
      <c r="T53" s="236">
        <v>45894.0</v>
      </c>
      <c r="U53" s="237" t="s">
        <v>106</v>
      </c>
      <c r="V53" s="237">
        <v>4.0</v>
      </c>
      <c r="W53" s="215">
        <v>150.0</v>
      </c>
      <c r="X53" s="238">
        <f t="shared" si="1"/>
        <v>600</v>
      </c>
      <c r="Y53" s="98"/>
    </row>
    <row r="54">
      <c r="A54" s="56"/>
      <c r="B54" s="57"/>
      <c r="C54" s="256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10"/>
      <c r="R54" s="33"/>
      <c r="S54" s="34"/>
      <c r="T54" s="236">
        <v>45897.0</v>
      </c>
      <c r="U54" s="237" t="s">
        <v>31</v>
      </c>
      <c r="V54" s="237">
        <v>4.0</v>
      </c>
      <c r="W54" s="215">
        <v>150.0</v>
      </c>
      <c r="X54" s="238">
        <f t="shared" si="1"/>
        <v>600</v>
      </c>
      <c r="Y54" s="98"/>
    </row>
    <row r="55">
      <c r="A55" s="257" t="s">
        <v>58</v>
      </c>
      <c r="B55" s="258">
        <v>45881.0</v>
      </c>
      <c r="C55" s="113" t="s">
        <v>107</v>
      </c>
      <c r="D55" s="114" t="s">
        <v>33</v>
      </c>
      <c r="E55" s="115" t="s">
        <v>60</v>
      </c>
      <c r="F55" s="116">
        <v>5.0</v>
      </c>
      <c r="G55" s="117" t="s">
        <v>30</v>
      </c>
      <c r="H55" s="118" t="s">
        <v>61</v>
      </c>
      <c r="I55" s="259"/>
      <c r="J55" s="260"/>
      <c r="K55" s="261"/>
      <c r="L55" s="262"/>
      <c r="M55" s="263"/>
      <c r="N55" s="264"/>
      <c r="R55" s="33"/>
      <c r="S55" s="34"/>
      <c r="T55" s="236">
        <v>45899.0</v>
      </c>
      <c r="U55" s="237" t="s">
        <v>40</v>
      </c>
      <c r="V55" s="237">
        <v>4.0</v>
      </c>
      <c r="W55" s="215">
        <v>150.0</v>
      </c>
      <c r="X55" s="238">
        <f t="shared" si="1"/>
        <v>600</v>
      </c>
      <c r="Y55" s="98"/>
    </row>
    <row r="56">
      <c r="A56" s="252" t="s">
        <v>62</v>
      </c>
      <c r="B56" s="265">
        <v>45882.0</v>
      </c>
      <c r="C56" s="189" t="s">
        <v>78</v>
      </c>
      <c r="D56" s="128" t="s">
        <v>28</v>
      </c>
      <c r="E56" s="128" t="s">
        <v>108</v>
      </c>
      <c r="F56" s="266">
        <v>4.0</v>
      </c>
      <c r="G56" s="267" t="s">
        <v>30</v>
      </c>
      <c r="H56" s="268" t="s">
        <v>74</v>
      </c>
      <c r="I56" s="259"/>
      <c r="J56" s="269" t="s">
        <v>109</v>
      </c>
      <c r="K56" s="270"/>
      <c r="L56" s="271"/>
      <c r="M56" s="272"/>
      <c r="N56" s="273">
        <f>SUM(M56:M58)</f>
        <v>600</v>
      </c>
      <c r="R56" s="56"/>
      <c r="S56" s="80"/>
      <c r="T56" s="274">
        <v>45900.0</v>
      </c>
      <c r="U56" s="275" t="s">
        <v>48</v>
      </c>
      <c r="V56" s="275">
        <v>4.0</v>
      </c>
      <c r="W56" s="276">
        <v>150.0</v>
      </c>
      <c r="X56" s="277">
        <f t="shared" si="1"/>
        <v>600</v>
      </c>
      <c r="Y56" s="110"/>
    </row>
    <row r="57">
      <c r="A57" s="33"/>
      <c r="B57" s="39"/>
      <c r="C57" s="192" t="s">
        <v>50</v>
      </c>
      <c r="D57" s="194" t="s">
        <v>33</v>
      </c>
      <c r="E57" s="193" t="s">
        <v>110</v>
      </c>
      <c r="F57" s="278">
        <v>4.0</v>
      </c>
      <c r="G57" s="279" t="s">
        <v>30</v>
      </c>
      <c r="H57" s="142"/>
      <c r="I57" s="280"/>
      <c r="J57" s="281" t="s">
        <v>111</v>
      </c>
      <c r="K57" s="282"/>
      <c r="L57" s="283"/>
      <c r="M57" s="284"/>
      <c r="N57" s="51"/>
      <c r="R57" s="13">
        <v>5.0</v>
      </c>
      <c r="S57" s="14" t="s">
        <v>29</v>
      </c>
      <c r="T57" s="229">
        <v>45870.0</v>
      </c>
      <c r="U57" s="230" t="s">
        <v>112</v>
      </c>
      <c r="V57" s="230">
        <v>4.0</v>
      </c>
      <c r="W57" s="285">
        <v>30.0</v>
      </c>
      <c r="X57" s="285">
        <f t="shared" si="1"/>
        <v>120</v>
      </c>
      <c r="Y57" s="286">
        <f>sum(X57:X68)</f>
        <v>1545</v>
      </c>
    </row>
    <row r="58">
      <c r="A58" s="56"/>
      <c r="B58" s="57"/>
      <c r="C58" s="287" t="s">
        <v>52</v>
      </c>
      <c r="D58" s="288" t="s">
        <v>92</v>
      </c>
      <c r="E58" s="288" t="s">
        <v>24</v>
      </c>
      <c r="F58" s="289">
        <v>4.0</v>
      </c>
      <c r="G58" s="290" t="s">
        <v>30</v>
      </c>
      <c r="H58" s="182"/>
      <c r="I58" s="291"/>
      <c r="J58" s="292"/>
      <c r="K58" s="282">
        <v>150.0</v>
      </c>
      <c r="L58" s="293" t="s">
        <v>113</v>
      </c>
      <c r="M58" s="284">
        <f>K58*F58</f>
        <v>600</v>
      </c>
      <c r="N58" s="69"/>
      <c r="R58" s="33"/>
      <c r="S58" s="34"/>
      <c r="T58" s="236">
        <v>45871.0</v>
      </c>
      <c r="U58" s="237" t="s">
        <v>112</v>
      </c>
      <c r="V58" s="237">
        <v>4.0</v>
      </c>
      <c r="W58" s="294">
        <v>30.0</v>
      </c>
      <c r="X58" s="294">
        <f t="shared" si="1"/>
        <v>120</v>
      </c>
      <c r="Y58" s="142"/>
    </row>
    <row r="59">
      <c r="A59" s="252" t="s">
        <v>77</v>
      </c>
      <c r="B59" s="265">
        <v>45883.0</v>
      </c>
      <c r="C59" s="254" t="s">
        <v>114</v>
      </c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8"/>
      <c r="O59" s="243" t="s">
        <v>115</v>
      </c>
      <c r="R59" s="33"/>
      <c r="S59" s="34"/>
      <c r="T59" s="236">
        <v>45875.0</v>
      </c>
      <c r="U59" s="237" t="s">
        <v>112</v>
      </c>
      <c r="V59" s="237">
        <v>4.0</v>
      </c>
      <c r="W59" s="294">
        <v>30.0</v>
      </c>
      <c r="X59" s="294">
        <f t="shared" si="1"/>
        <v>120</v>
      </c>
      <c r="Y59" s="142"/>
    </row>
    <row r="60">
      <c r="A60" s="33"/>
      <c r="B60" s="39"/>
      <c r="C60" s="255"/>
      <c r="N60" s="98"/>
      <c r="R60" s="33"/>
      <c r="S60" s="34"/>
      <c r="T60" s="236">
        <v>45877.0</v>
      </c>
      <c r="U60" s="237" t="s">
        <v>116</v>
      </c>
      <c r="V60" s="237">
        <v>3.0</v>
      </c>
      <c r="W60" s="294">
        <v>30.0</v>
      </c>
      <c r="X60" s="294">
        <f t="shared" si="1"/>
        <v>90</v>
      </c>
      <c r="Y60" s="142"/>
    </row>
    <row r="61">
      <c r="A61" s="33"/>
      <c r="B61" s="39"/>
      <c r="C61" s="255"/>
      <c r="N61" s="98"/>
      <c r="R61" s="33"/>
      <c r="S61" s="34"/>
      <c r="T61" s="236">
        <v>45878.0</v>
      </c>
      <c r="U61" s="237" t="s">
        <v>112</v>
      </c>
      <c r="V61" s="237">
        <v>4.0</v>
      </c>
      <c r="W61" s="294">
        <v>30.0</v>
      </c>
      <c r="X61" s="294">
        <f t="shared" si="1"/>
        <v>120</v>
      </c>
      <c r="Y61" s="142"/>
    </row>
    <row r="62">
      <c r="A62" s="56"/>
      <c r="B62" s="57"/>
      <c r="C62" s="256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10"/>
      <c r="R62" s="33"/>
      <c r="S62" s="34"/>
      <c r="T62" s="236">
        <v>45884.0</v>
      </c>
      <c r="U62" s="237" t="s">
        <v>112</v>
      </c>
      <c r="V62" s="237">
        <v>4.0</v>
      </c>
      <c r="W62" s="294">
        <v>30.0</v>
      </c>
      <c r="X62" s="294">
        <f t="shared" si="1"/>
        <v>120</v>
      </c>
      <c r="Y62" s="142"/>
    </row>
    <row r="63">
      <c r="A63" s="295" t="s">
        <v>26</v>
      </c>
      <c r="B63" s="265">
        <v>45884.0</v>
      </c>
      <c r="C63" s="296" t="s">
        <v>27</v>
      </c>
      <c r="D63" s="127" t="s">
        <v>28</v>
      </c>
      <c r="E63" s="127" t="s">
        <v>29</v>
      </c>
      <c r="F63" s="297">
        <v>4.0</v>
      </c>
      <c r="G63" s="298" t="s">
        <v>73</v>
      </c>
      <c r="H63" s="299"/>
      <c r="I63" s="300"/>
      <c r="J63" s="300"/>
      <c r="K63" s="301"/>
      <c r="L63" s="302">
        <v>30.0</v>
      </c>
      <c r="M63" s="302">
        <f>L63*4</f>
        <v>120</v>
      </c>
      <c r="N63" s="137">
        <f>sum(M63:M66)</f>
        <v>2316</v>
      </c>
      <c r="O63" s="303" t="s">
        <v>117</v>
      </c>
      <c r="R63" s="33"/>
      <c r="S63" s="34"/>
      <c r="T63" s="236">
        <v>45885.0</v>
      </c>
      <c r="U63" s="237" t="s">
        <v>112</v>
      </c>
      <c r="V63" s="237">
        <v>4.0</v>
      </c>
      <c r="W63" s="294">
        <v>30.0</v>
      </c>
      <c r="X63" s="294">
        <f t="shared" si="1"/>
        <v>120</v>
      </c>
      <c r="Y63" s="142"/>
    </row>
    <row r="64">
      <c r="A64" s="33"/>
      <c r="B64" s="39"/>
      <c r="C64" s="304" t="s">
        <v>40</v>
      </c>
      <c r="D64" s="139" t="s">
        <v>42</v>
      </c>
      <c r="E64" s="75"/>
      <c r="F64" s="140">
        <v>4.0</v>
      </c>
      <c r="G64" s="305" t="s">
        <v>73</v>
      </c>
      <c r="H64" s="306"/>
      <c r="I64" s="307"/>
      <c r="J64" s="307"/>
      <c r="K64" s="308">
        <v>30.0</v>
      </c>
      <c r="L64" s="282"/>
      <c r="M64" s="282">
        <f t="shared" ref="M64:M66" si="6">K64*F64</f>
        <v>120</v>
      </c>
      <c r="N64" s="51"/>
      <c r="O64" s="241" t="s">
        <v>118</v>
      </c>
      <c r="R64" s="33"/>
      <c r="S64" s="34"/>
      <c r="T64" s="236">
        <v>45886.0</v>
      </c>
      <c r="U64" s="237" t="s">
        <v>112</v>
      </c>
      <c r="V64" s="237">
        <v>4.0</v>
      </c>
      <c r="W64" s="294">
        <v>30.0</v>
      </c>
      <c r="X64" s="294">
        <f t="shared" si="1"/>
        <v>120</v>
      </c>
      <c r="Y64" s="142"/>
    </row>
    <row r="65">
      <c r="A65" s="33"/>
      <c r="B65" s="39"/>
      <c r="C65" s="309" t="s">
        <v>31</v>
      </c>
      <c r="D65" s="148" t="s">
        <v>39</v>
      </c>
      <c r="E65" s="310"/>
      <c r="F65" s="311">
        <v>4.0</v>
      </c>
      <c r="G65" s="312" t="s">
        <v>73</v>
      </c>
      <c r="H65" s="306"/>
      <c r="I65" s="307"/>
      <c r="J65" s="307"/>
      <c r="K65" s="308">
        <v>150.0</v>
      </c>
      <c r="L65" s="282"/>
      <c r="M65" s="282">
        <f t="shared" si="6"/>
        <v>600</v>
      </c>
      <c r="N65" s="51"/>
      <c r="R65" s="33"/>
      <c r="S65" s="34"/>
      <c r="T65" s="236">
        <v>45888.0</v>
      </c>
      <c r="U65" s="237" t="s">
        <v>119</v>
      </c>
      <c r="V65" s="237">
        <v>6.0</v>
      </c>
      <c r="W65" s="294">
        <v>30.0</v>
      </c>
      <c r="X65" s="294">
        <f t="shared" si="1"/>
        <v>180</v>
      </c>
      <c r="Y65" s="142"/>
    </row>
    <row r="66">
      <c r="A66" s="56"/>
      <c r="B66" s="57"/>
      <c r="C66" s="313" t="s">
        <v>38</v>
      </c>
      <c r="D66" s="178" t="s">
        <v>120</v>
      </c>
      <c r="E66" s="314"/>
      <c r="F66" s="245">
        <v>3.0</v>
      </c>
      <c r="G66" s="315" t="s">
        <v>73</v>
      </c>
      <c r="H66" s="316"/>
      <c r="I66" s="317"/>
      <c r="J66" s="317"/>
      <c r="K66" s="318">
        <v>492.0</v>
      </c>
      <c r="L66" s="319"/>
      <c r="M66" s="319">
        <f t="shared" si="6"/>
        <v>1476</v>
      </c>
      <c r="N66" s="69"/>
      <c r="R66" s="33"/>
      <c r="S66" s="34"/>
      <c r="T66" s="236">
        <v>45891.0</v>
      </c>
      <c r="U66" s="237" t="s">
        <v>121</v>
      </c>
      <c r="V66" s="237">
        <v>4.5</v>
      </c>
      <c r="W66" s="294">
        <v>30.0</v>
      </c>
      <c r="X66" s="294">
        <f t="shared" si="1"/>
        <v>135</v>
      </c>
      <c r="Y66" s="142"/>
    </row>
    <row r="67">
      <c r="A67" s="295" t="s">
        <v>41</v>
      </c>
      <c r="B67" s="265">
        <v>45885.0</v>
      </c>
      <c r="C67" s="296" t="s">
        <v>27</v>
      </c>
      <c r="D67" s="127" t="s">
        <v>28</v>
      </c>
      <c r="E67" s="320" t="s">
        <v>29</v>
      </c>
      <c r="F67" s="297">
        <v>4.0</v>
      </c>
      <c r="G67" s="298" t="s">
        <v>73</v>
      </c>
      <c r="H67" s="321" t="s">
        <v>122</v>
      </c>
      <c r="I67" s="322"/>
      <c r="J67" s="322" t="s">
        <v>123</v>
      </c>
      <c r="K67" s="301"/>
      <c r="L67" s="302">
        <v>30.0</v>
      </c>
      <c r="M67" s="300">
        <f>L67*F67</f>
        <v>120</v>
      </c>
      <c r="N67" s="137">
        <f>sum(M67:M70)</f>
        <v>2796</v>
      </c>
      <c r="O67" s="323" t="s">
        <v>124</v>
      </c>
      <c r="R67" s="33"/>
      <c r="S67" s="34"/>
      <c r="T67" s="236">
        <v>45897.0</v>
      </c>
      <c r="U67" s="237" t="s">
        <v>125</v>
      </c>
      <c r="V67" s="237">
        <v>5.0</v>
      </c>
      <c r="W67" s="294">
        <v>30.0</v>
      </c>
      <c r="X67" s="294">
        <f t="shared" si="1"/>
        <v>150</v>
      </c>
      <c r="Y67" s="142"/>
    </row>
    <row r="68">
      <c r="A68" s="33"/>
      <c r="B68" s="39"/>
      <c r="C68" s="304" t="s">
        <v>40</v>
      </c>
      <c r="D68" s="139" t="s">
        <v>43</v>
      </c>
      <c r="E68" s="324"/>
      <c r="F68" s="325">
        <v>4.0</v>
      </c>
      <c r="G68" s="305" t="s">
        <v>73</v>
      </c>
      <c r="H68" s="142"/>
      <c r="I68" s="326"/>
      <c r="J68" s="326"/>
      <c r="K68" s="308">
        <v>150.0</v>
      </c>
      <c r="L68" s="282"/>
      <c r="M68" s="307">
        <f t="shared" ref="M68:M70" si="7">K68*F68</f>
        <v>600</v>
      </c>
      <c r="N68" s="51"/>
      <c r="R68" s="56"/>
      <c r="S68" s="80"/>
      <c r="T68" s="274">
        <v>45898.0</v>
      </c>
      <c r="U68" s="275" t="s">
        <v>125</v>
      </c>
      <c r="V68" s="275">
        <v>5.0</v>
      </c>
      <c r="W68" s="327">
        <v>30.0</v>
      </c>
      <c r="X68" s="327">
        <f t="shared" si="1"/>
        <v>150</v>
      </c>
      <c r="Y68" s="182"/>
    </row>
    <row r="69">
      <c r="A69" s="33"/>
      <c r="B69" s="39"/>
      <c r="C69" s="309" t="s">
        <v>31</v>
      </c>
      <c r="D69" s="148" t="s">
        <v>39</v>
      </c>
      <c r="E69" s="328"/>
      <c r="F69" s="149">
        <v>4.0</v>
      </c>
      <c r="G69" s="312" t="s">
        <v>73</v>
      </c>
      <c r="H69" s="142"/>
      <c r="I69" s="326"/>
      <c r="J69" s="326"/>
      <c r="K69" s="308">
        <v>150.0</v>
      </c>
      <c r="L69" s="282"/>
      <c r="M69" s="307">
        <f t="shared" si="7"/>
        <v>600</v>
      </c>
      <c r="N69" s="51"/>
      <c r="R69" s="13">
        <v>6.0</v>
      </c>
      <c r="S69" s="14" t="s">
        <v>49</v>
      </c>
      <c r="T69" s="15">
        <v>45872.0</v>
      </c>
      <c r="U69" s="16" t="s">
        <v>40</v>
      </c>
      <c r="V69" s="329">
        <v>4.0</v>
      </c>
      <c r="W69" s="90">
        <v>230.0</v>
      </c>
      <c r="X69" s="90">
        <f t="shared" si="1"/>
        <v>920</v>
      </c>
      <c r="Y69" s="330">
        <f>sum(X69:X70)</f>
        <v>1840</v>
      </c>
    </row>
    <row r="70">
      <c r="A70" s="33"/>
      <c r="B70" s="57"/>
      <c r="C70" s="313" t="s">
        <v>38</v>
      </c>
      <c r="D70" s="178" t="s">
        <v>120</v>
      </c>
      <c r="E70" s="331"/>
      <c r="F70" s="245">
        <v>3.0</v>
      </c>
      <c r="G70" s="315" t="s">
        <v>73</v>
      </c>
      <c r="H70" s="182"/>
      <c r="I70" s="332"/>
      <c r="J70" s="332"/>
      <c r="K70" s="318">
        <v>492.0</v>
      </c>
      <c r="L70" s="319"/>
      <c r="M70" s="317">
        <f t="shared" si="7"/>
        <v>1476</v>
      </c>
      <c r="N70" s="69"/>
      <c r="R70" s="56"/>
      <c r="S70" s="80"/>
      <c r="T70" s="81">
        <v>45876.0</v>
      </c>
      <c r="U70" s="82" t="s">
        <v>52</v>
      </c>
      <c r="V70" s="333">
        <v>4.0</v>
      </c>
      <c r="W70" s="334">
        <v>230.0</v>
      </c>
      <c r="X70" s="334">
        <f t="shared" si="1"/>
        <v>920</v>
      </c>
      <c r="Y70" s="110"/>
    </row>
    <row r="71">
      <c r="A71" s="252" t="s">
        <v>45</v>
      </c>
      <c r="B71" s="265">
        <v>45886.0</v>
      </c>
      <c r="C71" s="335" t="s">
        <v>27</v>
      </c>
      <c r="D71" s="336" t="s">
        <v>101</v>
      </c>
      <c r="E71" s="337" t="s">
        <v>42</v>
      </c>
      <c r="F71" s="338">
        <v>4.0</v>
      </c>
      <c r="G71" s="339" t="s">
        <v>73</v>
      </c>
      <c r="H71" s="321" t="s">
        <v>122</v>
      </c>
      <c r="I71" s="322"/>
      <c r="J71" s="322"/>
      <c r="K71" s="301">
        <v>492.0</v>
      </c>
      <c r="L71" s="302">
        <v>30.0</v>
      </c>
      <c r="M71" s="300">
        <f>(L71*F71)+(K71*F71)</f>
        <v>2088</v>
      </c>
      <c r="N71" s="137">
        <f>sum(M71:M74)</f>
        <v>4188</v>
      </c>
      <c r="O71" s="241" t="s">
        <v>126</v>
      </c>
      <c r="W71" s="340"/>
      <c r="X71" s="340"/>
      <c r="Y71" s="340"/>
    </row>
    <row r="72">
      <c r="A72" s="33"/>
      <c r="B72" s="39"/>
      <c r="C72" s="304" t="s">
        <v>40</v>
      </c>
      <c r="D72" s="139" t="s">
        <v>43</v>
      </c>
      <c r="E72" s="324"/>
      <c r="F72" s="325">
        <v>4.0</v>
      </c>
      <c r="G72" s="305" t="s">
        <v>73</v>
      </c>
      <c r="H72" s="142"/>
      <c r="I72" s="326"/>
      <c r="J72" s="326"/>
      <c r="K72" s="308">
        <v>150.0</v>
      </c>
      <c r="L72" s="282"/>
      <c r="M72" s="307">
        <f t="shared" ref="M72:M74" si="8">K72*F72</f>
        <v>600</v>
      </c>
      <c r="N72" s="51"/>
      <c r="W72" s="97"/>
      <c r="X72" s="97"/>
      <c r="Y72" s="97"/>
    </row>
    <row r="73">
      <c r="A73" s="33"/>
      <c r="B73" s="39"/>
      <c r="C73" s="309" t="s">
        <v>31</v>
      </c>
      <c r="D73" s="148" t="s">
        <v>39</v>
      </c>
      <c r="E73" s="328"/>
      <c r="F73" s="311">
        <v>4.0</v>
      </c>
      <c r="G73" s="312" t="s">
        <v>73</v>
      </c>
      <c r="H73" s="142"/>
      <c r="I73" s="326"/>
      <c r="J73" s="326"/>
      <c r="K73" s="308">
        <v>150.0</v>
      </c>
      <c r="L73" s="282"/>
      <c r="M73" s="307">
        <f t="shared" si="8"/>
        <v>600</v>
      </c>
      <c r="N73" s="51"/>
      <c r="W73" s="97"/>
      <c r="X73" s="97"/>
      <c r="Y73" s="97"/>
    </row>
    <row r="74">
      <c r="A74" s="56"/>
      <c r="B74" s="57"/>
      <c r="C74" s="313" t="s">
        <v>38</v>
      </c>
      <c r="D74" s="178" t="s">
        <v>127</v>
      </c>
      <c r="E74" s="331"/>
      <c r="F74" s="180">
        <v>3.0</v>
      </c>
      <c r="G74" s="315" t="s">
        <v>73</v>
      </c>
      <c r="H74" s="182"/>
      <c r="I74" s="332"/>
      <c r="J74" s="332"/>
      <c r="K74" s="318">
        <v>300.0</v>
      </c>
      <c r="L74" s="319"/>
      <c r="M74" s="317">
        <f t="shared" si="8"/>
        <v>900</v>
      </c>
      <c r="N74" s="69"/>
      <c r="W74" s="97"/>
      <c r="X74" s="97"/>
      <c r="Y74" s="97"/>
    </row>
    <row r="75">
      <c r="W75" s="97"/>
      <c r="X75" s="97"/>
      <c r="Y75" s="97"/>
    </row>
    <row r="76">
      <c r="W76" s="97"/>
      <c r="X76" s="97"/>
      <c r="Y76" s="97"/>
    </row>
    <row r="77">
      <c r="A77" s="1" t="s">
        <v>128</v>
      </c>
      <c r="W77" s="97"/>
      <c r="X77" s="97"/>
      <c r="Y77" s="97"/>
    </row>
    <row r="78">
      <c r="W78" s="97"/>
      <c r="X78" s="97"/>
      <c r="Y78" s="97"/>
    </row>
    <row r="79">
      <c r="A79" s="8" t="s">
        <v>10</v>
      </c>
      <c r="B79" s="9" t="s">
        <v>11</v>
      </c>
      <c r="C79" s="9" t="s">
        <v>12</v>
      </c>
      <c r="D79" s="9" t="s">
        <v>13</v>
      </c>
      <c r="E79" s="9" t="s">
        <v>14</v>
      </c>
      <c r="F79" s="10" t="s">
        <v>15</v>
      </c>
      <c r="G79" s="9" t="s">
        <v>16</v>
      </c>
      <c r="H79" s="9" t="s">
        <v>17</v>
      </c>
      <c r="I79" s="11" t="s">
        <v>18</v>
      </c>
      <c r="J79" s="11" t="s">
        <v>19</v>
      </c>
      <c r="K79" s="10" t="s">
        <v>20</v>
      </c>
      <c r="L79" s="10" t="s">
        <v>21</v>
      </c>
      <c r="M79" s="250" t="s">
        <v>22</v>
      </c>
      <c r="N79" s="251" t="s">
        <v>23</v>
      </c>
      <c r="W79" s="97"/>
      <c r="X79" s="97"/>
      <c r="Y79" s="97"/>
    </row>
    <row r="80">
      <c r="A80" s="252" t="s">
        <v>55</v>
      </c>
      <c r="B80" s="253">
        <v>45887.0</v>
      </c>
      <c r="C80" s="254" t="s">
        <v>129</v>
      </c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8"/>
      <c r="W80" s="97"/>
      <c r="X80" s="97"/>
      <c r="Y80" s="97"/>
    </row>
    <row r="81">
      <c r="A81" s="33"/>
      <c r="B81" s="39"/>
      <c r="C81" s="255"/>
      <c r="N81" s="98"/>
      <c r="O81" s="243" t="s">
        <v>130</v>
      </c>
      <c r="W81" s="97"/>
      <c r="X81" s="97"/>
      <c r="Y81" s="97"/>
    </row>
    <row r="82">
      <c r="A82" s="33"/>
      <c r="B82" s="39"/>
      <c r="C82" s="255"/>
      <c r="N82" s="98"/>
      <c r="W82" s="97"/>
      <c r="X82" s="97"/>
      <c r="Y82" s="97"/>
    </row>
    <row r="83">
      <c r="A83" s="56"/>
      <c r="B83" s="57"/>
      <c r="C83" s="256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10"/>
    </row>
    <row r="84">
      <c r="A84" s="341" t="s">
        <v>58</v>
      </c>
      <c r="B84" s="342">
        <v>45888.0</v>
      </c>
      <c r="C84" s="343" t="s">
        <v>44</v>
      </c>
      <c r="D84" s="344" t="s">
        <v>28</v>
      </c>
      <c r="E84" s="345" t="s">
        <v>131</v>
      </c>
      <c r="F84" s="346">
        <v>4.0</v>
      </c>
      <c r="G84" s="267" t="s">
        <v>30</v>
      </c>
      <c r="H84" s="347" t="s">
        <v>132</v>
      </c>
      <c r="I84" s="348"/>
      <c r="J84" s="349"/>
      <c r="K84" s="350"/>
      <c r="L84" s="351"/>
      <c r="M84" s="352"/>
      <c r="N84" s="353">
        <f>sum(M84:M86)</f>
        <v>930</v>
      </c>
    </row>
    <row r="85">
      <c r="A85" s="33"/>
      <c r="B85" s="142"/>
      <c r="C85" s="354" t="s">
        <v>50</v>
      </c>
      <c r="D85" s="355" t="s">
        <v>71</v>
      </c>
      <c r="E85" s="356"/>
      <c r="F85" s="357">
        <v>4.0</v>
      </c>
      <c r="G85" s="279" t="s">
        <v>30</v>
      </c>
      <c r="H85" s="142"/>
      <c r="I85" s="358"/>
      <c r="J85" s="359"/>
      <c r="K85" s="360"/>
      <c r="L85" s="361">
        <v>30.0</v>
      </c>
      <c r="M85" s="362">
        <f>L85*6</f>
        <v>180</v>
      </c>
      <c r="N85" s="98"/>
    </row>
    <row r="86">
      <c r="A86" s="33"/>
      <c r="B86" s="142"/>
      <c r="C86" s="363" t="s">
        <v>103</v>
      </c>
      <c r="D86" s="364" t="s">
        <v>43</v>
      </c>
      <c r="E86" s="365"/>
      <c r="F86" s="366">
        <v>5.0</v>
      </c>
      <c r="G86" s="367" t="s">
        <v>133</v>
      </c>
      <c r="H86" s="182"/>
      <c r="I86" s="368"/>
      <c r="J86" s="369"/>
      <c r="K86" s="370">
        <v>150.0</v>
      </c>
      <c r="L86" s="371"/>
      <c r="M86" s="372">
        <f t="shared" ref="M86:M88" si="9">K86*F86</f>
        <v>750</v>
      </c>
      <c r="N86" s="373"/>
    </row>
    <row r="87">
      <c r="A87" s="33"/>
      <c r="B87" s="142"/>
      <c r="C87" s="374" t="s">
        <v>54</v>
      </c>
      <c r="D87" s="375" t="s">
        <v>92</v>
      </c>
      <c r="E87" s="376"/>
      <c r="F87" s="377">
        <v>3.0</v>
      </c>
      <c r="G87" s="378" t="s">
        <v>73</v>
      </c>
      <c r="H87" s="379" t="s">
        <v>61</v>
      </c>
      <c r="I87" s="380"/>
      <c r="J87" s="381"/>
      <c r="K87" s="382">
        <v>150.0</v>
      </c>
      <c r="L87" s="383"/>
      <c r="M87" s="352">
        <f t="shared" si="9"/>
        <v>450</v>
      </c>
      <c r="N87" s="384">
        <f>sum(M87:M88)</f>
        <v>900</v>
      </c>
    </row>
    <row r="88">
      <c r="A88" s="56"/>
      <c r="B88" s="182"/>
      <c r="C88" s="385" t="s">
        <v>51</v>
      </c>
      <c r="D88" s="386" t="s">
        <v>36</v>
      </c>
      <c r="E88" s="387"/>
      <c r="F88" s="388">
        <v>3.0</v>
      </c>
      <c r="G88" s="389" t="s">
        <v>73</v>
      </c>
      <c r="H88" s="57"/>
      <c r="I88" s="390"/>
      <c r="J88" s="391"/>
      <c r="K88" s="392">
        <v>150.0</v>
      </c>
      <c r="L88" s="393"/>
      <c r="M88" s="394">
        <f t="shared" si="9"/>
        <v>450</v>
      </c>
      <c r="N88" s="110"/>
    </row>
    <row r="89">
      <c r="A89" s="341" t="s">
        <v>62</v>
      </c>
      <c r="B89" s="342">
        <v>45889.0</v>
      </c>
      <c r="C89" s="296" t="s">
        <v>27</v>
      </c>
      <c r="D89" s="344" t="s">
        <v>28</v>
      </c>
      <c r="E89" s="395"/>
      <c r="F89" s="297">
        <v>4.0</v>
      </c>
      <c r="G89" s="298" t="s">
        <v>73</v>
      </c>
      <c r="H89" s="321" t="s">
        <v>122</v>
      </c>
      <c r="I89" s="348"/>
      <c r="J89" s="349"/>
      <c r="K89" s="350"/>
      <c r="L89" s="396" t="s">
        <v>66</v>
      </c>
      <c r="M89" s="352"/>
      <c r="N89" s="384">
        <f>SUM(M89:M92)</f>
        <v>1650</v>
      </c>
    </row>
    <row r="90">
      <c r="A90" s="33"/>
      <c r="B90" s="142"/>
      <c r="C90" s="304" t="s">
        <v>40</v>
      </c>
      <c r="D90" s="397" t="s">
        <v>43</v>
      </c>
      <c r="E90" s="398" t="s">
        <v>65</v>
      </c>
      <c r="F90" s="140">
        <v>4.0</v>
      </c>
      <c r="G90" s="305" t="s">
        <v>73</v>
      </c>
      <c r="H90" s="142"/>
      <c r="I90" s="368"/>
      <c r="J90" s="369"/>
      <c r="K90" s="399">
        <v>150.0</v>
      </c>
      <c r="L90" s="400"/>
      <c r="M90" s="362">
        <f t="shared" ref="M90:M92" si="10">K90*F90</f>
        <v>600</v>
      </c>
      <c r="N90" s="98"/>
      <c r="O90" s="241" t="s">
        <v>134</v>
      </c>
    </row>
    <row r="91">
      <c r="A91" s="33"/>
      <c r="B91" s="142"/>
      <c r="C91" s="309" t="s">
        <v>31</v>
      </c>
      <c r="D91" s="401" t="s">
        <v>92</v>
      </c>
      <c r="E91" s="402"/>
      <c r="F91" s="311">
        <v>4.0</v>
      </c>
      <c r="G91" s="312" t="s">
        <v>73</v>
      </c>
      <c r="H91" s="142"/>
      <c r="I91" s="368"/>
      <c r="J91" s="369"/>
      <c r="K91" s="399">
        <v>150.0</v>
      </c>
      <c r="L91" s="403"/>
      <c r="M91" s="362">
        <f t="shared" si="10"/>
        <v>600</v>
      </c>
      <c r="N91" s="98"/>
      <c r="O91" s="241" t="s">
        <v>135</v>
      </c>
    </row>
    <row r="92">
      <c r="A92" s="56"/>
      <c r="B92" s="182"/>
      <c r="C92" s="404" t="s">
        <v>38</v>
      </c>
      <c r="D92" s="386" t="s">
        <v>36</v>
      </c>
      <c r="E92" s="387"/>
      <c r="F92" s="405">
        <v>3.0</v>
      </c>
      <c r="G92" s="389" t="s">
        <v>73</v>
      </c>
      <c r="H92" s="182"/>
      <c r="I92" s="390"/>
      <c r="J92" s="391"/>
      <c r="K92" s="392">
        <v>150.0</v>
      </c>
      <c r="L92" s="393"/>
      <c r="M92" s="394">
        <f t="shared" si="10"/>
        <v>450</v>
      </c>
      <c r="N92" s="110"/>
    </row>
    <row r="93">
      <c r="A93" s="406" t="s">
        <v>77</v>
      </c>
      <c r="B93" s="253">
        <v>45890.0</v>
      </c>
      <c r="C93" s="254" t="s">
        <v>56</v>
      </c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8"/>
    </row>
    <row r="94">
      <c r="A94" s="33"/>
      <c r="B94" s="39"/>
      <c r="C94" s="255"/>
      <c r="N94" s="98"/>
    </row>
    <row r="95">
      <c r="A95" s="33"/>
      <c r="B95" s="39"/>
      <c r="C95" s="255"/>
      <c r="N95" s="98"/>
    </row>
    <row r="96">
      <c r="A96" s="56"/>
      <c r="B96" s="57"/>
      <c r="C96" s="25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10"/>
    </row>
    <row r="97">
      <c r="A97" s="341" t="s">
        <v>26</v>
      </c>
      <c r="B97" s="342">
        <v>45891.0</v>
      </c>
      <c r="C97" s="296" t="s">
        <v>27</v>
      </c>
      <c r="D97" s="344" t="s">
        <v>28</v>
      </c>
      <c r="E97" s="345" t="s">
        <v>136</v>
      </c>
      <c r="F97" s="297">
        <v>4.0</v>
      </c>
      <c r="G97" s="298" t="s">
        <v>73</v>
      </c>
      <c r="H97" s="321" t="s">
        <v>122</v>
      </c>
      <c r="I97" s="348"/>
      <c r="J97" s="349"/>
      <c r="K97" s="350"/>
      <c r="L97" s="407">
        <v>30.0</v>
      </c>
      <c r="M97" s="352">
        <f>L97*4.5</f>
        <v>135</v>
      </c>
      <c r="N97" s="384">
        <f>SUM(M97:M100)</f>
        <v>1185</v>
      </c>
    </row>
    <row r="98">
      <c r="A98" s="33"/>
      <c r="B98" s="142"/>
      <c r="C98" s="408" t="s">
        <v>40</v>
      </c>
      <c r="D98" s="355" t="s">
        <v>33</v>
      </c>
      <c r="E98" s="356"/>
      <c r="F98" s="195">
        <v>4.0</v>
      </c>
      <c r="G98" s="409" t="s">
        <v>73</v>
      </c>
      <c r="H98" s="142"/>
      <c r="I98" s="368"/>
      <c r="J98" s="369"/>
      <c r="K98" s="399"/>
      <c r="L98" s="410"/>
      <c r="M98" s="362">
        <f t="shared" ref="M98:M100" si="11">K98*F98</f>
        <v>0</v>
      </c>
      <c r="N98" s="98"/>
      <c r="O98" s="241"/>
    </row>
    <row r="99">
      <c r="A99" s="33"/>
      <c r="B99" s="142"/>
      <c r="C99" s="304" t="s">
        <v>31</v>
      </c>
      <c r="D99" s="397" t="s">
        <v>43</v>
      </c>
      <c r="E99" s="398" t="s">
        <v>65</v>
      </c>
      <c r="F99" s="325">
        <v>4.0</v>
      </c>
      <c r="G99" s="305" t="s">
        <v>73</v>
      </c>
      <c r="H99" s="142"/>
      <c r="I99" s="368"/>
      <c r="J99" s="369"/>
      <c r="K99" s="399">
        <v>150.0</v>
      </c>
      <c r="L99" s="411" t="s">
        <v>66</v>
      </c>
      <c r="M99" s="362">
        <f t="shared" si="11"/>
        <v>600</v>
      </c>
      <c r="N99" s="98"/>
    </row>
    <row r="100">
      <c r="A100" s="56"/>
      <c r="B100" s="182"/>
      <c r="C100" s="412" t="s">
        <v>38</v>
      </c>
      <c r="D100" s="413" t="s">
        <v>92</v>
      </c>
      <c r="E100" s="414"/>
      <c r="F100" s="227">
        <v>3.0</v>
      </c>
      <c r="G100" s="415" t="s">
        <v>73</v>
      </c>
      <c r="H100" s="182"/>
      <c r="I100" s="390"/>
      <c r="J100" s="391"/>
      <c r="K100" s="392">
        <v>150.0</v>
      </c>
      <c r="L100" s="393"/>
      <c r="M100" s="394">
        <f t="shared" si="11"/>
        <v>450</v>
      </c>
      <c r="N100" s="110"/>
    </row>
    <row r="101">
      <c r="A101" s="341" t="s">
        <v>41</v>
      </c>
      <c r="B101" s="342">
        <v>45892.0</v>
      </c>
      <c r="C101" s="296" t="s">
        <v>27</v>
      </c>
      <c r="D101" s="344" t="s">
        <v>63</v>
      </c>
      <c r="E101" s="395"/>
      <c r="F101" s="297">
        <v>4.0</v>
      </c>
      <c r="G101" s="298" t="s">
        <v>73</v>
      </c>
      <c r="H101" s="416" t="s">
        <v>137</v>
      </c>
      <c r="I101" s="348"/>
      <c r="J101" s="349"/>
      <c r="K101" s="350"/>
      <c r="L101" s="383"/>
      <c r="M101" s="352"/>
      <c r="N101" s="384">
        <f>SUM(M101:M104)</f>
        <v>1050</v>
      </c>
    </row>
    <row r="102">
      <c r="A102" s="33"/>
      <c r="B102" s="142"/>
      <c r="C102" s="408" t="s">
        <v>40</v>
      </c>
      <c r="D102" s="355" t="s">
        <v>33</v>
      </c>
      <c r="E102" s="417"/>
      <c r="F102" s="195">
        <v>4.0</v>
      </c>
      <c r="G102" s="409" t="s">
        <v>73</v>
      </c>
      <c r="H102" s="142"/>
      <c r="I102" s="358"/>
      <c r="J102" s="359"/>
      <c r="K102" s="360"/>
      <c r="L102" s="400"/>
      <c r="M102" s="362"/>
      <c r="N102" s="98"/>
    </row>
    <row r="103">
      <c r="A103" s="33"/>
      <c r="B103" s="142"/>
      <c r="C103" s="304" t="s">
        <v>31</v>
      </c>
      <c r="D103" s="397" t="s">
        <v>43</v>
      </c>
      <c r="E103" s="418"/>
      <c r="F103" s="325">
        <v>4.0</v>
      </c>
      <c r="G103" s="305" t="s">
        <v>73</v>
      </c>
      <c r="H103" s="142"/>
      <c r="I103" s="368"/>
      <c r="J103" s="369"/>
      <c r="K103" s="399">
        <v>150.0</v>
      </c>
      <c r="L103" s="403"/>
      <c r="M103" s="362">
        <f t="shared" ref="M103:M104" si="12">K103*F103</f>
        <v>600</v>
      </c>
      <c r="N103" s="98"/>
    </row>
    <row r="104">
      <c r="A104" s="56"/>
      <c r="B104" s="182"/>
      <c r="C104" s="404" t="s">
        <v>38</v>
      </c>
      <c r="D104" s="386" t="s">
        <v>36</v>
      </c>
      <c r="E104" s="387"/>
      <c r="F104" s="405">
        <v>3.0</v>
      </c>
      <c r="G104" s="389" t="s">
        <v>73</v>
      </c>
      <c r="H104" s="182"/>
      <c r="I104" s="390"/>
      <c r="J104" s="391"/>
      <c r="K104" s="392">
        <v>150.0</v>
      </c>
      <c r="L104" s="393"/>
      <c r="M104" s="394">
        <f t="shared" si="12"/>
        <v>450</v>
      </c>
      <c r="N104" s="110"/>
    </row>
    <row r="105">
      <c r="A105" s="341" t="s">
        <v>45</v>
      </c>
      <c r="B105" s="342">
        <v>45893.0</v>
      </c>
      <c r="C105" s="419" t="s">
        <v>138</v>
      </c>
      <c r="D105" s="344" t="s">
        <v>28</v>
      </c>
      <c r="E105" s="395"/>
      <c r="F105" s="129">
        <v>4.15</v>
      </c>
      <c r="G105" s="267" t="s">
        <v>30</v>
      </c>
      <c r="H105" s="416" t="s">
        <v>137</v>
      </c>
      <c r="I105" s="348"/>
      <c r="J105" s="349"/>
      <c r="K105" s="382"/>
      <c r="L105" s="383"/>
      <c r="M105" s="352"/>
      <c r="N105" s="384">
        <f>SUM(M105:M109)</f>
        <v>2293.5</v>
      </c>
    </row>
    <row r="106">
      <c r="A106" s="33"/>
      <c r="B106" s="142"/>
      <c r="C106" s="420" t="s">
        <v>85</v>
      </c>
      <c r="D106" s="421" t="s">
        <v>36</v>
      </c>
      <c r="E106" s="422"/>
      <c r="F106" s="423">
        <v>1.45</v>
      </c>
      <c r="G106" s="424" t="s">
        <v>30</v>
      </c>
      <c r="H106" s="142"/>
      <c r="I106" s="368"/>
      <c r="J106" s="369"/>
      <c r="K106" s="399">
        <v>150.0</v>
      </c>
      <c r="L106" s="403"/>
      <c r="M106" s="362">
        <f>K106*F106</f>
        <v>217.5</v>
      </c>
      <c r="N106" s="98"/>
      <c r="O106" s="243" t="s">
        <v>139</v>
      </c>
    </row>
    <row r="107">
      <c r="A107" s="33"/>
      <c r="B107" s="142"/>
      <c r="C107" s="425" t="s">
        <v>105</v>
      </c>
      <c r="D107" s="426" t="s">
        <v>43</v>
      </c>
      <c r="E107" s="426"/>
      <c r="F107" s="427">
        <v>2.0</v>
      </c>
      <c r="G107" s="428" t="s">
        <v>30</v>
      </c>
      <c r="H107" s="142"/>
      <c r="I107" s="368"/>
      <c r="J107" s="369"/>
      <c r="K107" s="399"/>
      <c r="L107" s="411"/>
      <c r="M107" s="362"/>
      <c r="N107" s="98"/>
    </row>
    <row r="108">
      <c r="A108" s="33"/>
      <c r="B108" s="142"/>
      <c r="C108" s="309" t="s">
        <v>31</v>
      </c>
      <c r="D108" s="401" t="s">
        <v>92</v>
      </c>
      <c r="E108" s="401"/>
      <c r="F108" s="311">
        <v>4.0</v>
      </c>
      <c r="G108" s="429" t="s">
        <v>30</v>
      </c>
      <c r="H108" s="142"/>
      <c r="I108" s="368"/>
      <c r="J108" s="369"/>
      <c r="K108" s="399">
        <v>150.0</v>
      </c>
      <c r="L108" s="411"/>
      <c r="M108" s="362">
        <f t="shared" ref="M108:M109" si="13">K108*F108</f>
        <v>600</v>
      </c>
      <c r="N108" s="98"/>
    </row>
    <row r="109">
      <c r="A109" s="56"/>
      <c r="B109" s="182"/>
      <c r="C109" s="313" t="s">
        <v>38</v>
      </c>
      <c r="D109" s="430" t="s">
        <v>101</v>
      </c>
      <c r="E109" s="431"/>
      <c r="F109" s="245">
        <v>3.0</v>
      </c>
      <c r="G109" s="432" t="s">
        <v>30</v>
      </c>
      <c r="H109" s="182"/>
      <c r="I109" s="433"/>
      <c r="J109" s="434"/>
      <c r="K109" s="392">
        <v>492.0</v>
      </c>
      <c r="L109" s="393"/>
      <c r="M109" s="394">
        <f t="shared" si="13"/>
        <v>1476</v>
      </c>
      <c r="N109" s="110"/>
    </row>
    <row r="110">
      <c r="A110" s="435"/>
      <c r="B110" s="435"/>
      <c r="C110" s="435"/>
      <c r="D110" s="436"/>
    </row>
    <row r="111">
      <c r="A111" s="435"/>
      <c r="B111" s="435"/>
      <c r="C111" s="435"/>
    </row>
    <row r="112">
      <c r="A112" s="1" t="s">
        <v>140</v>
      </c>
      <c r="C112" s="435"/>
    </row>
    <row r="113">
      <c r="C113" s="435"/>
    </row>
    <row r="114">
      <c r="A114" s="8" t="s">
        <v>10</v>
      </c>
      <c r="B114" s="9" t="s">
        <v>11</v>
      </c>
      <c r="C114" s="9" t="s">
        <v>12</v>
      </c>
      <c r="D114" s="9" t="s">
        <v>13</v>
      </c>
      <c r="E114" s="9" t="s">
        <v>14</v>
      </c>
      <c r="F114" s="10" t="s">
        <v>15</v>
      </c>
      <c r="G114" s="9" t="s">
        <v>16</v>
      </c>
      <c r="H114" s="9" t="s">
        <v>17</v>
      </c>
      <c r="I114" s="11" t="s">
        <v>18</v>
      </c>
      <c r="J114" s="11" t="s">
        <v>19</v>
      </c>
      <c r="K114" s="10" t="s">
        <v>20</v>
      </c>
      <c r="L114" s="10" t="s">
        <v>21</v>
      </c>
      <c r="M114" s="250" t="s">
        <v>22</v>
      </c>
      <c r="N114" s="251" t="s">
        <v>23</v>
      </c>
    </row>
    <row r="115">
      <c r="A115" s="252" t="s">
        <v>55</v>
      </c>
      <c r="B115" s="342">
        <v>45894.0</v>
      </c>
      <c r="C115" s="437" t="s">
        <v>44</v>
      </c>
      <c r="D115" s="395" t="s">
        <v>28</v>
      </c>
      <c r="E115" s="344"/>
      <c r="F115" s="438">
        <v>4.0</v>
      </c>
      <c r="G115" s="298" t="s">
        <v>73</v>
      </c>
      <c r="H115" s="439" t="s">
        <v>141</v>
      </c>
      <c r="I115" s="440"/>
      <c r="J115" s="441"/>
      <c r="K115" s="382"/>
      <c r="L115" s="407"/>
      <c r="M115" s="442"/>
      <c r="N115" s="381">
        <f>sum(M115:M118)</f>
        <v>1350</v>
      </c>
      <c r="O115" s="241" t="s">
        <v>135</v>
      </c>
    </row>
    <row r="116">
      <c r="A116" s="33"/>
      <c r="B116" s="142"/>
      <c r="C116" s="443" t="s">
        <v>50</v>
      </c>
      <c r="D116" s="397" t="s">
        <v>43</v>
      </c>
      <c r="E116" s="418"/>
      <c r="F116" s="444">
        <v>4.0</v>
      </c>
      <c r="G116" s="305" t="s">
        <v>73</v>
      </c>
      <c r="H116" s="142"/>
      <c r="I116" s="445"/>
      <c r="J116" s="446"/>
      <c r="K116" s="399">
        <v>150.0</v>
      </c>
      <c r="L116" s="447"/>
      <c r="M116" s="448">
        <f t="shared" ref="M116:M120" si="14">K116*F116</f>
        <v>600</v>
      </c>
      <c r="N116" s="98"/>
      <c r="O116" s="449" t="s">
        <v>142</v>
      </c>
    </row>
    <row r="117">
      <c r="A117" s="33"/>
      <c r="B117" s="142"/>
      <c r="C117" s="450" t="s">
        <v>87</v>
      </c>
      <c r="D117" s="451" t="s">
        <v>36</v>
      </c>
      <c r="E117" s="452"/>
      <c r="F117" s="453">
        <v>3.0</v>
      </c>
      <c r="G117" s="454" t="s">
        <v>73</v>
      </c>
      <c r="H117" s="142"/>
      <c r="I117" s="445"/>
      <c r="J117" s="446"/>
      <c r="K117" s="399">
        <v>150.0</v>
      </c>
      <c r="L117" s="447"/>
      <c r="M117" s="448">
        <f t="shared" si="14"/>
        <v>450</v>
      </c>
      <c r="N117" s="98"/>
    </row>
    <row r="118">
      <c r="A118" s="56"/>
      <c r="B118" s="182"/>
      <c r="C118" s="455" t="s">
        <v>88</v>
      </c>
      <c r="D118" s="456" t="s">
        <v>92</v>
      </c>
      <c r="E118" s="414"/>
      <c r="F118" s="457">
        <v>2.0</v>
      </c>
      <c r="G118" s="415" t="s">
        <v>73</v>
      </c>
      <c r="H118" s="182"/>
      <c r="I118" s="458"/>
      <c r="J118" s="459"/>
      <c r="K118" s="392">
        <v>150.0</v>
      </c>
      <c r="L118" s="460"/>
      <c r="M118" s="461">
        <f t="shared" si="14"/>
        <v>300</v>
      </c>
      <c r="N118" s="110"/>
    </row>
    <row r="119">
      <c r="A119" s="341" t="s">
        <v>58</v>
      </c>
      <c r="B119" s="462">
        <v>45895.0</v>
      </c>
      <c r="C119" s="343" t="s">
        <v>54</v>
      </c>
      <c r="D119" s="344" t="s">
        <v>28</v>
      </c>
      <c r="E119" s="395" t="s">
        <v>36</v>
      </c>
      <c r="F119" s="346">
        <v>3.0</v>
      </c>
      <c r="G119" s="298" t="s">
        <v>73</v>
      </c>
      <c r="H119" s="347" t="s">
        <v>61</v>
      </c>
      <c r="I119" s="440"/>
      <c r="J119" s="441"/>
      <c r="K119" s="382">
        <v>150.0</v>
      </c>
      <c r="L119" s="407"/>
      <c r="M119" s="442">
        <f t="shared" si="14"/>
        <v>450</v>
      </c>
      <c r="N119" s="381">
        <f>sum(M119:M120)</f>
        <v>900</v>
      </c>
      <c r="O119" s="241" t="s">
        <v>143</v>
      </c>
    </row>
    <row r="120">
      <c r="A120" s="56"/>
      <c r="B120" s="57"/>
      <c r="C120" s="463" t="s">
        <v>51</v>
      </c>
      <c r="D120" s="413" t="s">
        <v>92</v>
      </c>
      <c r="E120" s="414"/>
      <c r="F120" s="464">
        <v>3.0</v>
      </c>
      <c r="G120" s="415" t="s">
        <v>73</v>
      </c>
      <c r="H120" s="182"/>
      <c r="I120" s="458"/>
      <c r="J120" s="459"/>
      <c r="K120" s="392">
        <v>150.0</v>
      </c>
      <c r="L120" s="460"/>
      <c r="M120" s="461">
        <f t="shared" si="14"/>
        <v>450</v>
      </c>
      <c r="N120" s="110"/>
      <c r="O120" s="241" t="s">
        <v>135</v>
      </c>
    </row>
    <row r="121">
      <c r="A121" s="341" t="s">
        <v>62</v>
      </c>
      <c r="B121" s="462">
        <v>45896.0</v>
      </c>
      <c r="C121" s="343" t="s">
        <v>144</v>
      </c>
      <c r="D121" s="344" t="s">
        <v>28</v>
      </c>
      <c r="E121" s="344" t="s">
        <v>145</v>
      </c>
      <c r="F121" s="438">
        <v>4.0</v>
      </c>
      <c r="G121" s="465" t="s">
        <v>30</v>
      </c>
      <c r="H121" s="466" t="s">
        <v>146</v>
      </c>
      <c r="I121" s="467"/>
      <c r="J121" s="468"/>
      <c r="K121" s="382"/>
      <c r="L121" s="407"/>
      <c r="M121" s="442"/>
      <c r="N121" s="381">
        <f>sum(M121:M122)</f>
        <v>300</v>
      </c>
      <c r="O121" s="243" t="s">
        <v>126</v>
      </c>
    </row>
    <row r="122">
      <c r="A122" s="56"/>
      <c r="B122" s="57"/>
      <c r="C122" s="469" t="s">
        <v>88</v>
      </c>
      <c r="D122" s="470" t="s">
        <v>36</v>
      </c>
      <c r="E122" s="471"/>
      <c r="F122" s="472">
        <v>2.0</v>
      </c>
      <c r="G122" s="473" t="s">
        <v>30</v>
      </c>
      <c r="H122" s="182"/>
      <c r="I122" s="474"/>
      <c r="J122" s="475"/>
      <c r="K122" s="392">
        <v>150.0</v>
      </c>
      <c r="L122" s="460"/>
      <c r="M122" s="461">
        <f>K122*F122</f>
        <v>300</v>
      </c>
      <c r="N122" s="110"/>
    </row>
    <row r="123">
      <c r="A123" s="341" t="s">
        <v>77</v>
      </c>
      <c r="B123" s="342">
        <v>45897.0</v>
      </c>
      <c r="C123" s="476" t="s">
        <v>27</v>
      </c>
      <c r="D123" s="477" t="s">
        <v>71</v>
      </c>
      <c r="E123" s="345" t="s">
        <v>147</v>
      </c>
      <c r="F123" s="170">
        <v>4.0</v>
      </c>
      <c r="G123" s="478" t="s">
        <v>73</v>
      </c>
      <c r="H123" s="321" t="s">
        <v>122</v>
      </c>
      <c r="I123" s="440"/>
      <c r="J123" s="441"/>
      <c r="K123" s="382"/>
      <c r="L123" s="407">
        <v>30.0</v>
      </c>
      <c r="M123" s="442">
        <f>L123*5</f>
        <v>150</v>
      </c>
      <c r="N123" s="381">
        <f>sum(M123:M126)</f>
        <v>1200</v>
      </c>
      <c r="O123" s="241" t="s">
        <v>135</v>
      </c>
    </row>
    <row r="124">
      <c r="A124" s="33"/>
      <c r="B124" s="142"/>
      <c r="C124" s="479" t="s">
        <v>40</v>
      </c>
      <c r="D124" s="480" t="s">
        <v>28</v>
      </c>
      <c r="E124" s="356"/>
      <c r="F124" s="481">
        <v>4.0</v>
      </c>
      <c r="G124" s="482" t="s">
        <v>73</v>
      </c>
      <c r="H124" s="142"/>
      <c r="I124" s="445"/>
      <c r="J124" s="446"/>
      <c r="K124" s="399"/>
      <c r="L124" s="447"/>
      <c r="M124" s="448"/>
      <c r="N124" s="98"/>
      <c r="O124" s="243"/>
    </row>
    <row r="125">
      <c r="A125" s="33"/>
      <c r="B125" s="142"/>
      <c r="C125" s="304" t="s">
        <v>31</v>
      </c>
      <c r="D125" s="397" t="s">
        <v>43</v>
      </c>
      <c r="E125" s="398"/>
      <c r="F125" s="325">
        <v>4.0</v>
      </c>
      <c r="G125" s="305" t="s">
        <v>73</v>
      </c>
      <c r="H125" s="142"/>
      <c r="I125" s="445"/>
      <c r="J125" s="446"/>
      <c r="K125" s="399">
        <v>150.0</v>
      </c>
      <c r="L125" s="447"/>
      <c r="M125" s="448">
        <f t="shared" ref="M125:M126" si="15">K125*F125</f>
        <v>600</v>
      </c>
      <c r="N125" s="98"/>
      <c r="O125" s="241" t="s">
        <v>148</v>
      </c>
    </row>
    <row r="126">
      <c r="A126" s="56"/>
      <c r="B126" s="182"/>
      <c r="C126" s="483" t="s">
        <v>38</v>
      </c>
      <c r="D126" s="470" t="s">
        <v>36</v>
      </c>
      <c r="E126" s="484"/>
      <c r="F126" s="485">
        <v>3.0</v>
      </c>
      <c r="G126" s="486" t="s">
        <v>73</v>
      </c>
      <c r="H126" s="182"/>
      <c r="I126" s="458"/>
      <c r="J126" s="459"/>
      <c r="K126" s="392">
        <v>150.0</v>
      </c>
      <c r="L126" s="460"/>
      <c r="M126" s="461">
        <f t="shared" si="15"/>
        <v>450</v>
      </c>
      <c r="N126" s="110"/>
    </row>
    <row r="127">
      <c r="A127" s="341" t="s">
        <v>26</v>
      </c>
      <c r="B127" s="342">
        <v>45898.0</v>
      </c>
      <c r="C127" s="487" t="s">
        <v>27</v>
      </c>
      <c r="D127" s="488" t="s">
        <v>120</v>
      </c>
      <c r="E127" s="345" t="s">
        <v>149</v>
      </c>
      <c r="F127" s="489">
        <v>4.0</v>
      </c>
      <c r="G127" s="490" t="s">
        <v>73</v>
      </c>
      <c r="H127" s="321" t="s">
        <v>150</v>
      </c>
      <c r="I127" s="440"/>
      <c r="J127" s="441"/>
      <c r="K127" s="382"/>
      <c r="L127" s="407">
        <v>30.0</v>
      </c>
      <c r="M127" s="442">
        <f>L127*5</f>
        <v>150</v>
      </c>
      <c r="N127" s="381">
        <f>sum(M127:M130)</f>
        <v>1350</v>
      </c>
    </row>
    <row r="128">
      <c r="A128" s="33"/>
      <c r="B128" s="142"/>
      <c r="C128" s="491" t="s">
        <v>40</v>
      </c>
      <c r="D128" s="492" t="s">
        <v>63</v>
      </c>
      <c r="E128" s="356"/>
      <c r="F128" s="493">
        <v>4.0</v>
      </c>
      <c r="G128" s="494" t="s">
        <v>73</v>
      </c>
      <c r="H128" s="142"/>
      <c r="I128" s="445"/>
      <c r="J128" s="446"/>
      <c r="K128" s="399"/>
      <c r="L128" s="447"/>
      <c r="M128" s="448"/>
      <c r="N128" s="98"/>
    </row>
    <row r="129">
      <c r="A129" s="33"/>
      <c r="B129" s="142"/>
      <c r="C129" s="304" t="s">
        <v>151</v>
      </c>
      <c r="D129" s="397" t="s">
        <v>42</v>
      </c>
      <c r="E129" s="398"/>
      <c r="F129" s="140">
        <v>3.0</v>
      </c>
      <c r="G129" s="305" t="s">
        <v>73</v>
      </c>
      <c r="H129" s="142"/>
      <c r="I129" s="445"/>
      <c r="J129" s="446"/>
      <c r="K129" s="399">
        <v>150.0</v>
      </c>
      <c r="L129" s="447"/>
      <c r="M129" s="448">
        <f t="shared" ref="M129:M130" si="16">K129*F129</f>
        <v>450</v>
      </c>
      <c r="N129" s="98"/>
    </row>
    <row r="130">
      <c r="A130" s="56"/>
      <c r="B130" s="182"/>
      <c r="C130" s="495" t="s">
        <v>103</v>
      </c>
      <c r="D130" s="496" t="s">
        <v>39</v>
      </c>
      <c r="E130" s="497"/>
      <c r="F130" s="498">
        <v>5.0</v>
      </c>
      <c r="G130" s="499" t="s">
        <v>73</v>
      </c>
      <c r="H130" s="182"/>
      <c r="I130" s="458"/>
      <c r="J130" s="459"/>
      <c r="K130" s="392">
        <v>150.0</v>
      </c>
      <c r="L130" s="460"/>
      <c r="M130" s="461">
        <f t="shared" si="16"/>
        <v>750</v>
      </c>
      <c r="N130" s="110"/>
    </row>
    <row r="131">
      <c r="A131" s="341" t="s">
        <v>41</v>
      </c>
      <c r="B131" s="342">
        <v>45899.0</v>
      </c>
      <c r="C131" s="476" t="s">
        <v>27</v>
      </c>
      <c r="D131" s="477" t="s">
        <v>33</v>
      </c>
      <c r="E131" s="500"/>
      <c r="F131" s="170">
        <v>4.0</v>
      </c>
      <c r="G131" s="478" t="s">
        <v>73</v>
      </c>
      <c r="H131" s="416" t="s">
        <v>137</v>
      </c>
      <c r="I131" s="440"/>
      <c r="J131" s="441"/>
      <c r="K131" s="382"/>
      <c r="L131" s="407">
        <v>30.0</v>
      </c>
      <c r="M131" s="442">
        <f>L131*F131</f>
        <v>120</v>
      </c>
      <c r="N131" s="381">
        <f>sum(M131:M134)</f>
        <v>1770</v>
      </c>
      <c r="O131" s="243" t="s">
        <v>152</v>
      </c>
    </row>
    <row r="132">
      <c r="A132" s="33"/>
      <c r="B132" s="142"/>
      <c r="C132" s="304" t="s">
        <v>40</v>
      </c>
      <c r="D132" s="397" t="s">
        <v>43</v>
      </c>
      <c r="E132" s="398"/>
      <c r="F132" s="140">
        <v>4.0</v>
      </c>
      <c r="G132" s="305" t="s">
        <v>73</v>
      </c>
      <c r="H132" s="142"/>
      <c r="I132" s="445"/>
      <c r="J132" s="446"/>
      <c r="K132" s="399">
        <v>150.0</v>
      </c>
      <c r="L132" s="447"/>
      <c r="M132" s="448">
        <f t="shared" ref="M132:M134" si="17">K132*F132</f>
        <v>600</v>
      </c>
      <c r="N132" s="98"/>
    </row>
    <row r="133">
      <c r="A133" s="33"/>
      <c r="B133" s="142"/>
      <c r="C133" s="501" t="s">
        <v>31</v>
      </c>
      <c r="D133" s="502" t="s">
        <v>36</v>
      </c>
      <c r="E133" s="503"/>
      <c r="F133" s="504">
        <v>4.0</v>
      </c>
      <c r="G133" s="505" t="s">
        <v>73</v>
      </c>
      <c r="H133" s="142"/>
      <c r="I133" s="445"/>
      <c r="J133" s="446"/>
      <c r="K133" s="399">
        <v>150.0</v>
      </c>
      <c r="L133" s="447"/>
      <c r="M133" s="448">
        <f t="shared" si="17"/>
        <v>600</v>
      </c>
      <c r="N133" s="98"/>
    </row>
    <row r="134">
      <c r="A134" s="56"/>
      <c r="B134" s="182"/>
      <c r="C134" s="412" t="s">
        <v>38</v>
      </c>
      <c r="D134" s="413" t="s">
        <v>39</v>
      </c>
      <c r="E134" s="414"/>
      <c r="F134" s="227">
        <v>3.0</v>
      </c>
      <c r="G134" s="415" t="s">
        <v>73</v>
      </c>
      <c r="H134" s="182"/>
      <c r="I134" s="458"/>
      <c r="J134" s="459"/>
      <c r="K134" s="392">
        <v>150.0</v>
      </c>
      <c r="L134" s="460"/>
      <c r="M134" s="461">
        <f t="shared" si="17"/>
        <v>450</v>
      </c>
      <c r="N134" s="110"/>
    </row>
    <row r="135">
      <c r="A135" s="341" t="s">
        <v>45</v>
      </c>
      <c r="B135" s="342">
        <v>45900.0</v>
      </c>
      <c r="C135" s="476" t="s">
        <v>27</v>
      </c>
      <c r="D135" s="477" t="s">
        <v>71</v>
      </c>
      <c r="E135" s="500"/>
      <c r="F135" s="170">
        <v>4.0</v>
      </c>
      <c r="G135" s="478" t="s">
        <v>73</v>
      </c>
      <c r="H135" s="416" t="s">
        <v>137</v>
      </c>
      <c r="I135" s="440"/>
      <c r="J135" s="441"/>
      <c r="K135" s="506"/>
      <c r="L135" s="507">
        <v>30.0</v>
      </c>
      <c r="M135" s="508">
        <f>L135*F135</f>
        <v>120</v>
      </c>
      <c r="N135" s="369">
        <f>sum(M135:M138)</f>
        <v>1770</v>
      </c>
    </row>
    <row r="136">
      <c r="A136" s="33"/>
      <c r="B136" s="142"/>
      <c r="C136" s="420" t="s">
        <v>40</v>
      </c>
      <c r="D136" s="421" t="s">
        <v>36</v>
      </c>
      <c r="E136" s="422"/>
      <c r="F136" s="423">
        <v>4.0</v>
      </c>
      <c r="G136" s="509" t="s">
        <v>73</v>
      </c>
      <c r="H136" s="142"/>
      <c r="I136" s="445"/>
      <c r="J136" s="446"/>
      <c r="K136" s="399">
        <v>150.0</v>
      </c>
      <c r="L136" s="447"/>
      <c r="M136" s="448">
        <f t="shared" ref="M136:M138" si="18">K136*F136</f>
        <v>600</v>
      </c>
      <c r="N136" s="98"/>
    </row>
    <row r="137">
      <c r="A137" s="33"/>
      <c r="B137" s="142"/>
      <c r="C137" s="304" t="s">
        <v>31</v>
      </c>
      <c r="D137" s="397" t="s">
        <v>43</v>
      </c>
      <c r="E137" s="397" t="s">
        <v>24</v>
      </c>
      <c r="F137" s="325">
        <v>4.0</v>
      </c>
      <c r="G137" s="305" t="s">
        <v>73</v>
      </c>
      <c r="H137" s="142"/>
      <c r="I137" s="445"/>
      <c r="J137" s="446"/>
      <c r="K137" s="399">
        <v>150.0</v>
      </c>
      <c r="L137" s="447"/>
      <c r="M137" s="448">
        <f t="shared" si="18"/>
        <v>600</v>
      </c>
      <c r="N137" s="98"/>
    </row>
    <row r="138">
      <c r="A138" s="56"/>
      <c r="B138" s="182"/>
      <c r="C138" s="412" t="s">
        <v>38</v>
      </c>
      <c r="D138" s="413" t="s">
        <v>39</v>
      </c>
      <c r="E138" s="414"/>
      <c r="F138" s="227">
        <v>3.0</v>
      </c>
      <c r="G138" s="415" t="s">
        <v>73</v>
      </c>
      <c r="H138" s="182"/>
      <c r="I138" s="458"/>
      <c r="J138" s="459"/>
      <c r="K138" s="392">
        <v>150.0</v>
      </c>
      <c r="L138" s="460"/>
      <c r="M138" s="461">
        <f t="shared" si="18"/>
        <v>450</v>
      </c>
      <c r="N138" s="110"/>
    </row>
  </sheetData>
  <mergeCells count="137">
    <mergeCell ref="B12:B15"/>
    <mergeCell ref="A18:B19"/>
    <mergeCell ref="A26:A31"/>
    <mergeCell ref="B26:B31"/>
    <mergeCell ref="A32:A34"/>
    <mergeCell ref="B32:B34"/>
    <mergeCell ref="B35:B37"/>
    <mergeCell ref="A35:A37"/>
    <mergeCell ref="A38:A41"/>
    <mergeCell ref="B38:B41"/>
    <mergeCell ref="A42:A45"/>
    <mergeCell ref="B42:B45"/>
    <mergeCell ref="A48:B49"/>
    <mergeCell ref="A51:A54"/>
    <mergeCell ref="A56:A58"/>
    <mergeCell ref="B56:B58"/>
    <mergeCell ref="A67:A70"/>
    <mergeCell ref="B67:B70"/>
    <mergeCell ref="A71:A74"/>
    <mergeCell ref="B71:B74"/>
    <mergeCell ref="A77:B78"/>
    <mergeCell ref="B97:B100"/>
    <mergeCell ref="B101:B104"/>
    <mergeCell ref="B105:B109"/>
    <mergeCell ref="A112:B113"/>
    <mergeCell ref="B115:B118"/>
    <mergeCell ref="B119:B120"/>
    <mergeCell ref="B121:B122"/>
    <mergeCell ref="B123:B126"/>
    <mergeCell ref="A80:A83"/>
    <mergeCell ref="B80:B83"/>
    <mergeCell ref="A84:A88"/>
    <mergeCell ref="B84:B88"/>
    <mergeCell ref="A89:A92"/>
    <mergeCell ref="B89:B92"/>
    <mergeCell ref="B93:B96"/>
    <mergeCell ref="A123:A126"/>
    <mergeCell ref="A127:A130"/>
    <mergeCell ref="B127:B130"/>
    <mergeCell ref="A131:A134"/>
    <mergeCell ref="B131:B134"/>
    <mergeCell ref="A135:A138"/>
    <mergeCell ref="B135:B138"/>
    <mergeCell ref="A93:A96"/>
    <mergeCell ref="A97:A100"/>
    <mergeCell ref="A101:A104"/>
    <mergeCell ref="A105:A109"/>
    <mergeCell ref="A115:A118"/>
    <mergeCell ref="A119:A120"/>
    <mergeCell ref="A121:A122"/>
    <mergeCell ref="B51:B54"/>
    <mergeCell ref="C51:N54"/>
    <mergeCell ref="A59:A62"/>
    <mergeCell ref="B59:B62"/>
    <mergeCell ref="C59:N62"/>
    <mergeCell ref="A63:A66"/>
    <mergeCell ref="B63:B66"/>
    <mergeCell ref="N63:N66"/>
    <mergeCell ref="N67:N70"/>
    <mergeCell ref="H71:H74"/>
    <mergeCell ref="N71:N74"/>
    <mergeCell ref="C80:N83"/>
    <mergeCell ref="E84:E85"/>
    <mergeCell ref="N84:N86"/>
    <mergeCell ref="N115:N118"/>
    <mergeCell ref="N119:N120"/>
    <mergeCell ref="N121:N122"/>
    <mergeCell ref="N123:N126"/>
    <mergeCell ref="N127:N130"/>
    <mergeCell ref="N131:N134"/>
    <mergeCell ref="N135:N138"/>
    <mergeCell ref="N87:N88"/>
    <mergeCell ref="N89:N92"/>
    <mergeCell ref="C93:N96"/>
    <mergeCell ref="E97:E98"/>
    <mergeCell ref="N97:N100"/>
    <mergeCell ref="N101:N104"/>
    <mergeCell ref="N105:N109"/>
    <mergeCell ref="H119:H120"/>
    <mergeCell ref="H121:H122"/>
    <mergeCell ref="E123:E124"/>
    <mergeCell ref="E127:E128"/>
    <mergeCell ref="H123:H126"/>
    <mergeCell ref="H127:H130"/>
    <mergeCell ref="H131:H134"/>
    <mergeCell ref="H135:H138"/>
    <mergeCell ref="H84:H86"/>
    <mergeCell ref="H87:H88"/>
    <mergeCell ref="H89:H92"/>
    <mergeCell ref="H97:H100"/>
    <mergeCell ref="H101:H104"/>
    <mergeCell ref="H105:H109"/>
    <mergeCell ref="H115:H118"/>
    <mergeCell ref="A1:B2"/>
    <mergeCell ref="R1:Y1"/>
    <mergeCell ref="R3:R10"/>
    <mergeCell ref="S3:S10"/>
    <mergeCell ref="A4:A7"/>
    <mergeCell ref="B4:B7"/>
    <mergeCell ref="N4:N7"/>
    <mergeCell ref="N8:N11"/>
    <mergeCell ref="A21:A24"/>
    <mergeCell ref="B21:N24"/>
    <mergeCell ref="H30:H31"/>
    <mergeCell ref="H32:H34"/>
    <mergeCell ref="H35:H37"/>
    <mergeCell ref="H38:H41"/>
    <mergeCell ref="H56:H58"/>
    <mergeCell ref="H67:H70"/>
    <mergeCell ref="A8:A11"/>
    <mergeCell ref="B8:B11"/>
    <mergeCell ref="R11:R28"/>
    <mergeCell ref="S11:S28"/>
    <mergeCell ref="Y11:Y28"/>
    <mergeCell ref="A12:A15"/>
    <mergeCell ref="H26:H29"/>
    <mergeCell ref="N12:N15"/>
    <mergeCell ref="N26:N29"/>
    <mergeCell ref="R29:R40"/>
    <mergeCell ref="S29:S40"/>
    <mergeCell ref="Y29:Y40"/>
    <mergeCell ref="N30:N31"/>
    <mergeCell ref="N32:N34"/>
    <mergeCell ref="R57:R68"/>
    <mergeCell ref="S57:S68"/>
    <mergeCell ref="Y57:Y68"/>
    <mergeCell ref="O67:P67"/>
    <mergeCell ref="R69:R70"/>
    <mergeCell ref="S69:S70"/>
    <mergeCell ref="Y69:Y70"/>
    <mergeCell ref="N35:N37"/>
    <mergeCell ref="N38:N41"/>
    <mergeCell ref="R41:R56"/>
    <mergeCell ref="S41:S56"/>
    <mergeCell ref="Y41:Y56"/>
    <mergeCell ref="N42:N45"/>
    <mergeCell ref="N56:N58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4.0"/>
  </cols>
  <sheetData>
    <row r="1">
      <c r="A1" s="510"/>
      <c r="B1" s="510"/>
      <c r="C1" s="510"/>
      <c r="D1" s="510"/>
      <c r="E1" s="510"/>
      <c r="F1" s="510"/>
      <c r="G1" s="510"/>
      <c r="H1" s="510"/>
      <c r="I1" s="510"/>
      <c r="J1" s="510"/>
      <c r="K1" s="510"/>
    </row>
    <row r="2">
      <c r="A2" s="511" t="s">
        <v>10</v>
      </c>
      <c r="B2" s="512" t="s">
        <v>11</v>
      </c>
      <c r="C2" s="512" t="s">
        <v>12</v>
      </c>
      <c r="D2" s="512" t="s">
        <v>13</v>
      </c>
      <c r="E2" s="512" t="s">
        <v>14</v>
      </c>
      <c r="F2" s="512" t="s">
        <v>15</v>
      </c>
      <c r="G2" s="512" t="s">
        <v>16</v>
      </c>
      <c r="H2" s="513" t="s">
        <v>153</v>
      </c>
      <c r="I2" s="510"/>
      <c r="J2" s="510"/>
      <c r="K2" s="510"/>
    </row>
    <row r="3">
      <c r="A3" s="514" t="s">
        <v>55</v>
      </c>
      <c r="B3" s="515">
        <v>45810.0</v>
      </c>
      <c r="C3" s="516" t="s">
        <v>154</v>
      </c>
      <c r="D3" s="517" t="s">
        <v>43</v>
      </c>
      <c r="E3" s="518"/>
      <c r="F3" s="519">
        <v>5.0</v>
      </c>
      <c r="G3" s="520" t="s">
        <v>73</v>
      </c>
      <c r="H3" s="521">
        <f>sum(F3:F5)</f>
        <v>13</v>
      </c>
      <c r="I3" s="510"/>
      <c r="J3" s="510"/>
      <c r="K3" s="510"/>
    </row>
    <row r="4">
      <c r="A4" s="33"/>
      <c r="B4" s="34"/>
      <c r="C4" s="522" t="s">
        <v>155</v>
      </c>
      <c r="D4" s="523" t="s">
        <v>76</v>
      </c>
      <c r="E4" s="524" t="s">
        <v>156</v>
      </c>
      <c r="F4" s="525">
        <v>4.0</v>
      </c>
      <c r="G4" s="526" t="s">
        <v>73</v>
      </c>
      <c r="H4" s="142"/>
      <c r="I4" s="510"/>
      <c r="J4" s="510"/>
      <c r="K4" s="510"/>
    </row>
    <row r="5">
      <c r="A5" s="56"/>
      <c r="B5" s="80"/>
      <c r="C5" s="527" t="s">
        <v>157</v>
      </c>
      <c r="D5" s="331" t="s">
        <v>101</v>
      </c>
      <c r="E5" s="179"/>
      <c r="F5" s="528">
        <v>4.0</v>
      </c>
      <c r="G5" s="529" t="s">
        <v>73</v>
      </c>
      <c r="H5" s="182"/>
      <c r="I5" s="510"/>
      <c r="J5" s="510"/>
      <c r="K5" s="510"/>
    </row>
    <row r="6">
      <c r="A6" s="19" t="s">
        <v>58</v>
      </c>
      <c r="B6" s="515">
        <v>45811.0</v>
      </c>
      <c r="C6" s="516" t="s">
        <v>154</v>
      </c>
      <c r="D6" s="517" t="s">
        <v>158</v>
      </c>
      <c r="E6" s="517" t="s">
        <v>159</v>
      </c>
      <c r="F6" s="519">
        <v>5.0</v>
      </c>
      <c r="G6" s="520" t="s">
        <v>73</v>
      </c>
      <c r="H6" s="521">
        <f>sum(F6:F8)</f>
        <v>13</v>
      </c>
      <c r="I6" s="510"/>
      <c r="J6" s="510"/>
      <c r="K6" s="510"/>
    </row>
    <row r="7">
      <c r="A7" s="33"/>
      <c r="B7" s="34"/>
      <c r="C7" s="530" t="s">
        <v>155</v>
      </c>
      <c r="D7" s="324" t="s">
        <v>92</v>
      </c>
      <c r="E7" s="324" t="s">
        <v>160</v>
      </c>
      <c r="F7" s="531">
        <v>4.0</v>
      </c>
      <c r="G7" s="532" t="s">
        <v>73</v>
      </c>
      <c r="H7" s="142"/>
      <c r="I7" s="510"/>
      <c r="J7" s="510"/>
      <c r="K7" s="510"/>
    </row>
    <row r="8">
      <c r="A8" s="33"/>
      <c r="B8" s="34"/>
      <c r="C8" s="522" t="s">
        <v>157</v>
      </c>
      <c r="D8" s="523" t="s">
        <v>76</v>
      </c>
      <c r="E8" s="523" t="s">
        <v>161</v>
      </c>
      <c r="F8" s="525">
        <v>4.0</v>
      </c>
      <c r="G8" s="526" t="s">
        <v>73</v>
      </c>
      <c r="H8" s="158"/>
      <c r="I8" s="510"/>
      <c r="J8" s="510"/>
      <c r="K8" s="510"/>
    </row>
    <row r="9">
      <c r="A9" s="33"/>
      <c r="B9" s="34"/>
      <c r="C9" s="533" t="s">
        <v>87</v>
      </c>
      <c r="D9" s="534" t="s">
        <v>33</v>
      </c>
      <c r="E9" s="42"/>
      <c r="F9" s="535">
        <v>3.0</v>
      </c>
      <c r="G9" s="536" t="s">
        <v>30</v>
      </c>
      <c r="H9" s="537" t="s">
        <v>162</v>
      </c>
      <c r="I9" s="510"/>
      <c r="J9" s="510"/>
      <c r="K9" s="510"/>
    </row>
    <row r="10">
      <c r="A10" s="56"/>
      <c r="B10" s="80"/>
      <c r="C10" s="538" t="s">
        <v>88</v>
      </c>
      <c r="D10" s="331" t="s">
        <v>101</v>
      </c>
      <c r="E10" s="179"/>
      <c r="F10" s="528">
        <v>2.0</v>
      </c>
      <c r="G10" s="539" t="s">
        <v>30</v>
      </c>
      <c r="H10" s="540">
        <f>sum(F9:F10)</f>
        <v>5</v>
      </c>
      <c r="I10" s="510"/>
      <c r="J10" s="510"/>
      <c r="K10" s="510"/>
    </row>
    <row r="11">
      <c r="A11" s="19" t="s">
        <v>62</v>
      </c>
      <c r="B11" s="515">
        <v>45812.0</v>
      </c>
      <c r="C11" s="541" t="s">
        <v>44</v>
      </c>
      <c r="D11" s="542" t="s">
        <v>71</v>
      </c>
      <c r="E11" s="543"/>
      <c r="F11" s="544">
        <v>4.0</v>
      </c>
      <c r="G11" s="545" t="s">
        <v>73</v>
      </c>
      <c r="H11" s="521">
        <f>sum(F11:F14)</f>
        <v>13</v>
      </c>
      <c r="I11" s="510"/>
      <c r="J11" s="510"/>
      <c r="K11" s="510"/>
    </row>
    <row r="12">
      <c r="A12" s="33"/>
      <c r="B12" s="34"/>
      <c r="C12" s="546" t="s">
        <v>163</v>
      </c>
      <c r="D12" s="547" t="s">
        <v>164</v>
      </c>
      <c r="E12" s="242"/>
      <c r="F12" s="548">
        <v>3.0</v>
      </c>
      <c r="G12" s="549" t="s">
        <v>73</v>
      </c>
      <c r="H12" s="142"/>
      <c r="I12" s="510"/>
      <c r="J12" s="510"/>
      <c r="K12" s="510"/>
    </row>
    <row r="13">
      <c r="A13" s="33"/>
      <c r="B13" s="34"/>
      <c r="C13" s="550" t="s">
        <v>165</v>
      </c>
      <c r="D13" s="551" t="s">
        <v>28</v>
      </c>
      <c r="E13" s="552"/>
      <c r="F13" s="553">
        <v>3.0</v>
      </c>
      <c r="G13" s="554" t="s">
        <v>73</v>
      </c>
      <c r="H13" s="142"/>
      <c r="I13" s="510"/>
      <c r="J13" s="510"/>
      <c r="K13" s="510"/>
    </row>
    <row r="14">
      <c r="A14" s="56"/>
      <c r="B14" s="80"/>
      <c r="C14" s="555" t="s">
        <v>38</v>
      </c>
      <c r="D14" s="556" t="s">
        <v>158</v>
      </c>
      <c r="E14" s="557" t="s">
        <v>166</v>
      </c>
      <c r="F14" s="558">
        <v>3.0</v>
      </c>
      <c r="G14" s="559" t="s">
        <v>73</v>
      </c>
      <c r="H14" s="182"/>
      <c r="I14" s="510"/>
      <c r="J14" s="510"/>
      <c r="K14" s="510"/>
    </row>
    <row r="15">
      <c r="A15" s="514" t="s">
        <v>77</v>
      </c>
      <c r="B15" s="515">
        <v>45813.0</v>
      </c>
      <c r="C15" s="560" t="s">
        <v>27</v>
      </c>
      <c r="D15" s="561" t="s">
        <v>33</v>
      </c>
      <c r="E15" s="562"/>
      <c r="F15" s="563">
        <v>4.0</v>
      </c>
      <c r="G15" s="564" t="s">
        <v>73</v>
      </c>
      <c r="H15" s="521">
        <f>sum(F15:F19)</f>
        <v>17</v>
      </c>
      <c r="I15" s="510"/>
      <c r="J15" s="510"/>
      <c r="K15" s="510"/>
    </row>
    <row r="16">
      <c r="A16" s="33"/>
      <c r="B16" s="34"/>
      <c r="C16" s="565" t="s">
        <v>40</v>
      </c>
      <c r="D16" s="566" t="s">
        <v>43</v>
      </c>
      <c r="E16" s="566" t="s">
        <v>167</v>
      </c>
      <c r="F16" s="567">
        <v>4.0</v>
      </c>
      <c r="G16" s="568" t="s">
        <v>73</v>
      </c>
      <c r="H16" s="142"/>
      <c r="I16" s="510"/>
      <c r="J16" s="510"/>
      <c r="K16" s="510"/>
    </row>
    <row r="17">
      <c r="A17" s="33"/>
      <c r="B17" s="34"/>
      <c r="C17" s="356"/>
      <c r="D17" s="356"/>
      <c r="E17" s="356"/>
      <c r="F17" s="356"/>
      <c r="G17" s="356"/>
      <c r="H17" s="142"/>
      <c r="I17" s="510"/>
      <c r="J17" s="510"/>
      <c r="K17" s="510"/>
    </row>
    <row r="18">
      <c r="A18" s="33"/>
      <c r="B18" s="34"/>
      <c r="C18" s="550" t="s">
        <v>168</v>
      </c>
      <c r="D18" s="551" t="s">
        <v>28</v>
      </c>
      <c r="E18" s="552"/>
      <c r="F18" s="553">
        <v>5.0</v>
      </c>
      <c r="G18" s="554" t="s">
        <v>73</v>
      </c>
      <c r="H18" s="142"/>
      <c r="I18" s="510"/>
      <c r="J18" s="510"/>
      <c r="K18" s="510"/>
    </row>
    <row r="19">
      <c r="A19" s="33"/>
      <c r="B19" s="34"/>
      <c r="C19" s="522" t="s">
        <v>157</v>
      </c>
      <c r="D19" s="523" t="s">
        <v>164</v>
      </c>
      <c r="E19" s="569" t="s">
        <v>65</v>
      </c>
      <c r="F19" s="525">
        <v>4.0</v>
      </c>
      <c r="G19" s="526" t="s">
        <v>73</v>
      </c>
      <c r="H19" s="158"/>
      <c r="I19" s="510"/>
      <c r="J19" s="510"/>
      <c r="K19" s="510"/>
    </row>
    <row r="20">
      <c r="A20" s="33"/>
      <c r="B20" s="34"/>
      <c r="C20" s="530" t="s">
        <v>169</v>
      </c>
      <c r="D20" s="324" t="s">
        <v>39</v>
      </c>
      <c r="E20" s="75"/>
      <c r="F20" s="531">
        <v>3.0</v>
      </c>
      <c r="G20" s="570" t="s">
        <v>30</v>
      </c>
      <c r="H20" s="571">
        <f>sum(F20:F23)</f>
        <v>13</v>
      </c>
      <c r="I20" s="510"/>
      <c r="J20" s="510"/>
      <c r="K20" s="510"/>
    </row>
    <row r="21">
      <c r="A21" s="33"/>
      <c r="B21" s="34"/>
      <c r="C21" s="522" t="s">
        <v>78</v>
      </c>
      <c r="D21" s="523" t="s">
        <v>101</v>
      </c>
      <c r="E21" s="572"/>
      <c r="F21" s="525">
        <v>4.0</v>
      </c>
      <c r="G21" s="573" t="s">
        <v>30</v>
      </c>
      <c r="H21" s="142"/>
      <c r="I21" s="510"/>
      <c r="J21" s="510"/>
      <c r="K21" s="510"/>
    </row>
    <row r="22">
      <c r="A22" s="33"/>
      <c r="B22" s="34"/>
      <c r="C22" s="522" t="s">
        <v>163</v>
      </c>
      <c r="D22" s="523" t="s">
        <v>127</v>
      </c>
      <c r="E22" s="524" t="s">
        <v>170</v>
      </c>
      <c r="F22" s="525">
        <v>3.0</v>
      </c>
      <c r="G22" s="573" t="s">
        <v>30</v>
      </c>
      <c r="H22" s="142"/>
      <c r="I22" s="510"/>
      <c r="J22" s="510"/>
      <c r="K22" s="510"/>
    </row>
    <row r="23">
      <c r="A23" s="56"/>
      <c r="B23" s="80"/>
      <c r="C23" s="527" t="s">
        <v>38</v>
      </c>
      <c r="D23" s="331" t="s">
        <v>120</v>
      </c>
      <c r="E23" s="179"/>
      <c r="F23" s="528">
        <v>3.0</v>
      </c>
      <c r="G23" s="539" t="s">
        <v>30</v>
      </c>
      <c r="H23" s="182"/>
      <c r="I23" s="510"/>
      <c r="J23" s="510"/>
      <c r="K23" s="510"/>
    </row>
    <row r="24">
      <c r="A24" s="514" t="s">
        <v>26</v>
      </c>
      <c r="B24" s="574">
        <v>45814.0</v>
      </c>
      <c r="C24" s="575" t="s">
        <v>27</v>
      </c>
      <c r="D24" s="576" t="s">
        <v>127</v>
      </c>
      <c r="E24" s="576" t="s">
        <v>171</v>
      </c>
      <c r="F24" s="577">
        <v>4.0</v>
      </c>
      <c r="G24" s="578" t="s">
        <v>73</v>
      </c>
      <c r="H24" s="521">
        <f>sum(F24:F28)</f>
        <v>15</v>
      </c>
      <c r="I24" s="510"/>
      <c r="J24" s="510"/>
      <c r="K24" s="510"/>
    </row>
    <row r="25">
      <c r="A25" s="33"/>
      <c r="B25" s="39"/>
      <c r="C25" s="522" t="s">
        <v>40</v>
      </c>
      <c r="D25" s="579" t="s">
        <v>101</v>
      </c>
      <c r="E25" s="579" t="s">
        <v>172</v>
      </c>
      <c r="F25" s="525">
        <v>4.0</v>
      </c>
      <c r="G25" s="526" t="s">
        <v>73</v>
      </c>
      <c r="H25" s="142"/>
      <c r="I25" s="510"/>
      <c r="J25" s="510"/>
      <c r="K25" s="510"/>
    </row>
    <row r="26">
      <c r="A26" s="33"/>
      <c r="B26" s="39"/>
      <c r="C26" s="522" t="s">
        <v>173</v>
      </c>
      <c r="D26" s="523" t="s">
        <v>174</v>
      </c>
      <c r="E26" s="569" t="s">
        <v>65</v>
      </c>
      <c r="F26" s="525">
        <v>2.0</v>
      </c>
      <c r="G26" s="526" t="s">
        <v>73</v>
      </c>
      <c r="H26" s="142"/>
      <c r="I26" s="510"/>
      <c r="J26" s="510"/>
      <c r="K26" s="510"/>
    </row>
    <row r="27">
      <c r="A27" s="33"/>
      <c r="B27" s="39"/>
      <c r="C27" s="580" t="s">
        <v>175</v>
      </c>
      <c r="D27" s="534" t="s">
        <v>33</v>
      </c>
      <c r="E27" s="42"/>
      <c r="F27" s="535">
        <v>2.0</v>
      </c>
      <c r="G27" s="581" t="s">
        <v>73</v>
      </c>
      <c r="H27" s="142"/>
      <c r="I27" s="510"/>
      <c r="J27" s="510"/>
      <c r="K27" s="510"/>
    </row>
    <row r="28">
      <c r="A28" s="33"/>
      <c r="B28" s="39"/>
      <c r="C28" s="522" t="s">
        <v>38</v>
      </c>
      <c r="D28" s="523" t="s">
        <v>120</v>
      </c>
      <c r="E28" s="572"/>
      <c r="F28" s="525">
        <v>3.0</v>
      </c>
      <c r="G28" s="526" t="s">
        <v>73</v>
      </c>
      <c r="H28" s="158"/>
      <c r="I28" s="510"/>
      <c r="J28" s="510"/>
      <c r="K28" s="510"/>
    </row>
    <row r="29">
      <c r="A29" s="33"/>
      <c r="B29" s="39"/>
      <c r="C29" s="582" t="s">
        <v>112</v>
      </c>
      <c r="D29" s="579" t="s">
        <v>101</v>
      </c>
      <c r="E29" s="583"/>
      <c r="F29" s="584">
        <v>4.0</v>
      </c>
      <c r="G29" s="585" t="s">
        <v>30</v>
      </c>
      <c r="H29" s="586">
        <f>sum(F29:F31)</f>
        <v>12</v>
      </c>
      <c r="I29" s="510"/>
      <c r="J29" s="510"/>
      <c r="K29" s="510"/>
    </row>
    <row r="30">
      <c r="A30" s="33"/>
      <c r="B30" s="39"/>
      <c r="C30" s="580" t="s">
        <v>176</v>
      </c>
      <c r="D30" s="534" t="s">
        <v>33</v>
      </c>
      <c r="E30" s="534" t="s">
        <v>177</v>
      </c>
      <c r="F30" s="535">
        <v>4.0</v>
      </c>
      <c r="G30" s="536" t="s">
        <v>30</v>
      </c>
      <c r="H30" s="142"/>
      <c r="I30" s="510"/>
      <c r="J30" s="510"/>
      <c r="K30" s="510"/>
    </row>
    <row r="31">
      <c r="A31" s="33"/>
      <c r="B31" s="39"/>
      <c r="C31" s="587" t="s">
        <v>48</v>
      </c>
      <c r="D31" s="588" t="s">
        <v>76</v>
      </c>
      <c r="E31" s="589" t="s">
        <v>156</v>
      </c>
      <c r="F31" s="590">
        <v>4.0</v>
      </c>
      <c r="G31" s="591" t="s">
        <v>30</v>
      </c>
      <c r="H31" s="142"/>
      <c r="I31" s="510"/>
      <c r="J31" s="510"/>
      <c r="K31" s="510"/>
    </row>
    <row r="32">
      <c r="A32" s="56"/>
      <c r="B32" s="57"/>
      <c r="C32" s="80"/>
      <c r="D32" s="80"/>
      <c r="E32" s="80"/>
      <c r="F32" s="80"/>
      <c r="G32" s="80"/>
      <c r="H32" s="182"/>
      <c r="I32" s="510"/>
      <c r="J32" s="510"/>
      <c r="K32" s="510"/>
    </row>
    <row r="33">
      <c r="A33" s="19" t="s">
        <v>41</v>
      </c>
      <c r="B33" s="515">
        <v>45815.0</v>
      </c>
      <c r="C33" s="516" t="s">
        <v>112</v>
      </c>
      <c r="D33" s="517" t="s">
        <v>43</v>
      </c>
      <c r="E33" s="592"/>
      <c r="F33" s="519">
        <v>4.0</v>
      </c>
      <c r="G33" s="520" t="s">
        <v>73</v>
      </c>
      <c r="H33" s="521">
        <f>sum(F33:F36)</f>
        <v>13</v>
      </c>
      <c r="I33" s="510"/>
      <c r="J33" s="510"/>
      <c r="K33" s="510"/>
    </row>
    <row r="34">
      <c r="A34" s="33"/>
      <c r="B34" s="34"/>
      <c r="C34" s="522" t="s">
        <v>178</v>
      </c>
      <c r="D34" s="523" t="s">
        <v>179</v>
      </c>
      <c r="E34" s="524" t="s">
        <v>170</v>
      </c>
      <c r="F34" s="525">
        <v>3.0</v>
      </c>
      <c r="G34" s="526" t="s">
        <v>73</v>
      </c>
      <c r="H34" s="142"/>
      <c r="I34" s="510"/>
      <c r="J34" s="510"/>
      <c r="K34" s="510"/>
    </row>
    <row r="35">
      <c r="A35" s="33"/>
      <c r="B35" s="34"/>
      <c r="C35" s="522" t="s">
        <v>180</v>
      </c>
      <c r="D35" s="588" t="s">
        <v>101</v>
      </c>
      <c r="E35" s="588" t="s">
        <v>33</v>
      </c>
      <c r="F35" s="590">
        <v>3.0</v>
      </c>
      <c r="G35" s="593" t="s">
        <v>73</v>
      </c>
      <c r="H35" s="142"/>
      <c r="I35" s="510"/>
      <c r="J35" s="510"/>
      <c r="K35" s="510"/>
    </row>
    <row r="36">
      <c r="A36" s="56"/>
      <c r="B36" s="80"/>
      <c r="C36" s="594" t="s">
        <v>38</v>
      </c>
      <c r="D36" s="595" t="s">
        <v>164</v>
      </c>
      <c r="E36" s="226"/>
      <c r="F36" s="596">
        <v>3.0</v>
      </c>
      <c r="G36" s="597" t="s">
        <v>73</v>
      </c>
      <c r="H36" s="182"/>
      <c r="I36" s="510"/>
      <c r="J36" s="510"/>
      <c r="K36" s="510"/>
    </row>
    <row r="37">
      <c r="A37" s="19" t="s">
        <v>45</v>
      </c>
      <c r="B37" s="598">
        <v>45875.0</v>
      </c>
      <c r="C37" s="541" t="s">
        <v>112</v>
      </c>
      <c r="D37" s="542" t="s">
        <v>33</v>
      </c>
      <c r="E37" s="542" t="s">
        <v>181</v>
      </c>
      <c r="F37" s="544">
        <v>4.0</v>
      </c>
      <c r="G37" s="545" t="s">
        <v>73</v>
      </c>
      <c r="H37" s="521">
        <f>sum(F37:F40)</f>
        <v>15</v>
      </c>
      <c r="I37" s="510"/>
      <c r="J37" s="510"/>
      <c r="K37" s="510"/>
    </row>
    <row r="38">
      <c r="A38" s="33"/>
      <c r="B38" s="34"/>
      <c r="C38" s="599" t="s">
        <v>40</v>
      </c>
      <c r="D38" s="328" t="s">
        <v>43</v>
      </c>
      <c r="E38" s="328" t="s">
        <v>182</v>
      </c>
      <c r="F38" s="600">
        <v>4.0</v>
      </c>
      <c r="G38" s="549" t="s">
        <v>73</v>
      </c>
      <c r="H38" s="142"/>
      <c r="I38" s="510"/>
      <c r="J38" s="510"/>
      <c r="K38" s="510"/>
    </row>
    <row r="39">
      <c r="A39" s="33"/>
      <c r="B39" s="34"/>
      <c r="C39" s="601" t="s">
        <v>31</v>
      </c>
      <c r="D39" s="602" t="s">
        <v>164</v>
      </c>
      <c r="E39" s="603"/>
      <c r="F39" s="604">
        <v>4.0</v>
      </c>
      <c r="G39" s="605" t="s">
        <v>73</v>
      </c>
      <c r="H39" s="142"/>
      <c r="I39" s="510"/>
      <c r="J39" s="510"/>
      <c r="K39" s="510"/>
    </row>
    <row r="40">
      <c r="A40" s="56"/>
      <c r="B40" s="80"/>
      <c r="C40" s="527" t="s">
        <v>38</v>
      </c>
      <c r="D40" s="331" t="s">
        <v>127</v>
      </c>
      <c r="E40" s="179"/>
      <c r="F40" s="528">
        <v>3.0</v>
      </c>
      <c r="G40" s="529" t="s">
        <v>73</v>
      </c>
      <c r="H40" s="182"/>
      <c r="I40" s="510"/>
      <c r="J40" s="510"/>
      <c r="K40" s="510"/>
    </row>
    <row r="41">
      <c r="A41" s="510"/>
      <c r="B41" s="510"/>
      <c r="C41" s="510"/>
      <c r="D41" s="510"/>
      <c r="E41" s="510"/>
      <c r="F41" s="510"/>
      <c r="G41" s="510"/>
      <c r="H41" s="510"/>
      <c r="I41" s="510"/>
      <c r="J41" s="510"/>
      <c r="K41" s="510"/>
    </row>
    <row r="42">
      <c r="A42" s="606" t="s">
        <v>55</v>
      </c>
      <c r="B42" s="607">
        <v>45906.0</v>
      </c>
      <c r="C42" s="608" t="s">
        <v>183</v>
      </c>
      <c r="D42" s="609" t="s">
        <v>184</v>
      </c>
      <c r="E42" s="610"/>
      <c r="F42" s="577">
        <v>2.0</v>
      </c>
      <c r="G42" s="611" t="s">
        <v>30</v>
      </c>
      <c r="H42" s="612"/>
      <c r="I42" s="612"/>
      <c r="J42" s="612"/>
      <c r="K42" s="613"/>
    </row>
    <row r="43">
      <c r="A43" s="255"/>
      <c r="B43" s="33"/>
      <c r="C43" s="614" t="s">
        <v>185</v>
      </c>
      <c r="D43" s="615" t="s">
        <v>186</v>
      </c>
      <c r="E43" s="616" t="s">
        <v>187</v>
      </c>
      <c r="F43" s="617">
        <v>2.0</v>
      </c>
      <c r="G43" s="618" t="s">
        <v>30</v>
      </c>
      <c r="H43" s="619"/>
      <c r="I43" s="619"/>
      <c r="J43" s="619"/>
      <c r="K43" s="620"/>
    </row>
    <row r="44">
      <c r="A44" s="255"/>
      <c r="B44" s="33"/>
      <c r="C44" s="79" t="s">
        <v>40</v>
      </c>
      <c r="D44" s="41" t="s">
        <v>71</v>
      </c>
      <c r="E44" s="621" t="s">
        <v>188</v>
      </c>
      <c r="F44" s="535">
        <v>4.0</v>
      </c>
      <c r="G44" s="536" t="s">
        <v>30</v>
      </c>
      <c r="H44" s="622"/>
      <c r="I44" s="622"/>
      <c r="J44" s="622"/>
      <c r="K44" s="623"/>
    </row>
    <row r="45">
      <c r="A45" s="255"/>
      <c r="B45" s="33"/>
      <c r="C45" s="624" t="s">
        <v>48</v>
      </c>
      <c r="D45" s="625" t="s">
        <v>164</v>
      </c>
      <c r="E45" s="626"/>
      <c r="F45" s="627">
        <v>4.0</v>
      </c>
      <c r="G45" s="628" t="s">
        <v>30</v>
      </c>
      <c r="H45" s="629"/>
      <c r="I45" s="629"/>
      <c r="J45" s="629"/>
      <c r="K45" s="630"/>
    </row>
    <row r="46">
      <c r="A46" s="255"/>
      <c r="B46" s="33"/>
      <c r="C46" s="631" t="s">
        <v>112</v>
      </c>
      <c r="D46" s="632" t="s">
        <v>101</v>
      </c>
      <c r="E46" s="572"/>
      <c r="F46" s="525">
        <v>4.0</v>
      </c>
      <c r="G46" s="526" t="s">
        <v>73</v>
      </c>
      <c r="H46" s="633"/>
      <c r="I46" s="633"/>
      <c r="J46" s="633"/>
      <c r="K46" s="634"/>
    </row>
    <row r="47">
      <c r="A47" s="255"/>
      <c r="B47" s="33"/>
      <c r="C47" s="76" t="s">
        <v>189</v>
      </c>
      <c r="D47" s="635" t="s">
        <v>43</v>
      </c>
      <c r="E47" s="636"/>
      <c r="F47" s="531">
        <v>5.0</v>
      </c>
      <c r="G47" s="532" t="s">
        <v>73</v>
      </c>
      <c r="H47" s="637"/>
      <c r="I47" s="637"/>
      <c r="J47" s="637"/>
      <c r="K47" s="638"/>
    </row>
    <row r="48">
      <c r="A48" s="255"/>
      <c r="B48" s="33"/>
      <c r="C48" s="639" t="s">
        <v>165</v>
      </c>
      <c r="D48" s="640" t="s">
        <v>28</v>
      </c>
      <c r="E48" s="552"/>
      <c r="F48" s="553">
        <v>3.0</v>
      </c>
      <c r="G48" s="554" t="s">
        <v>73</v>
      </c>
      <c r="H48" s="641"/>
      <c r="I48" s="641"/>
      <c r="J48" s="641"/>
      <c r="K48" s="642"/>
    </row>
    <row r="49">
      <c r="A49" s="256"/>
      <c r="B49" s="56"/>
      <c r="C49" s="643" t="s">
        <v>38</v>
      </c>
      <c r="D49" s="314" t="s">
        <v>120</v>
      </c>
      <c r="E49" s="179"/>
      <c r="F49" s="528">
        <v>3.0</v>
      </c>
      <c r="G49" s="529" t="s">
        <v>73</v>
      </c>
      <c r="H49" s="179"/>
      <c r="I49" s="179"/>
      <c r="J49" s="179"/>
      <c r="K49" s="644"/>
    </row>
    <row r="50">
      <c r="A50" s="645" t="s">
        <v>58</v>
      </c>
      <c r="B50" s="607">
        <v>45936.0</v>
      </c>
      <c r="C50" s="646" t="s">
        <v>190</v>
      </c>
      <c r="D50" s="647" t="s">
        <v>43</v>
      </c>
      <c r="E50" s="648"/>
      <c r="F50" s="646">
        <v>5.0</v>
      </c>
      <c r="G50" s="649" t="s">
        <v>73</v>
      </c>
      <c r="H50" s="648"/>
      <c r="I50" s="646" t="s">
        <v>191</v>
      </c>
      <c r="J50" s="650" t="s">
        <v>191</v>
      </c>
      <c r="K50" s="651"/>
    </row>
    <row r="51">
      <c r="A51" s="51"/>
      <c r="B51" s="33"/>
      <c r="C51" s="535" t="s">
        <v>192</v>
      </c>
      <c r="D51" s="41" t="s">
        <v>71</v>
      </c>
      <c r="E51" s="41" t="s">
        <v>193</v>
      </c>
      <c r="F51" s="535">
        <v>4.0</v>
      </c>
      <c r="G51" s="581" t="s">
        <v>73</v>
      </c>
      <c r="H51" s="652">
        <v>3.261808E7</v>
      </c>
      <c r="I51" s="652">
        <v>6.8560091E7</v>
      </c>
      <c r="J51" s="653">
        <f>I51-H51</f>
        <v>35942011</v>
      </c>
      <c r="K51" s="623"/>
    </row>
    <row r="52">
      <c r="A52" s="51"/>
      <c r="B52" s="33"/>
      <c r="C52" s="525" t="s">
        <v>165</v>
      </c>
      <c r="D52" s="615" t="s">
        <v>186</v>
      </c>
      <c r="E52" s="523" t="s">
        <v>24</v>
      </c>
      <c r="F52" s="525">
        <v>3.0</v>
      </c>
      <c r="G52" s="526" t="s">
        <v>73</v>
      </c>
      <c r="H52" s="619"/>
      <c r="I52" s="619"/>
      <c r="J52" s="619"/>
      <c r="K52" s="634"/>
    </row>
    <row r="53">
      <c r="A53" s="51"/>
      <c r="B53" s="33"/>
      <c r="C53" s="525" t="s">
        <v>38</v>
      </c>
      <c r="D53" s="632" t="s">
        <v>120</v>
      </c>
      <c r="E53" s="572"/>
      <c r="F53" s="525">
        <v>3.0</v>
      </c>
      <c r="G53" s="526" t="s">
        <v>73</v>
      </c>
      <c r="H53" s="619"/>
      <c r="I53" s="619"/>
      <c r="J53" s="619"/>
      <c r="K53" s="634"/>
    </row>
    <row r="54">
      <c r="A54" s="69"/>
      <c r="B54" s="56"/>
      <c r="C54" s="654" t="s">
        <v>103</v>
      </c>
      <c r="D54" s="655" t="s">
        <v>194</v>
      </c>
      <c r="E54" s="656"/>
      <c r="F54" s="657">
        <v>4.0</v>
      </c>
      <c r="G54" s="658" t="s">
        <v>30</v>
      </c>
      <c r="H54" s="656"/>
      <c r="I54" s="656"/>
      <c r="J54" s="659">
        <v>4.8078783E7</v>
      </c>
      <c r="K54" s="660" t="s">
        <v>195</v>
      </c>
    </row>
    <row r="55">
      <c r="A55" s="645" t="s">
        <v>62</v>
      </c>
      <c r="B55" s="607">
        <v>45967.0</v>
      </c>
      <c r="C55" s="544" t="s">
        <v>27</v>
      </c>
      <c r="D55" s="661" t="s">
        <v>33</v>
      </c>
      <c r="E55" s="543"/>
      <c r="F55" s="544">
        <v>4.0</v>
      </c>
      <c r="G55" s="545" t="s">
        <v>73</v>
      </c>
      <c r="H55" s="562"/>
      <c r="I55" s="563" t="s">
        <v>196</v>
      </c>
      <c r="J55" s="561" t="s">
        <v>196</v>
      </c>
      <c r="K55" s="662"/>
    </row>
    <row r="56">
      <c r="A56" s="51"/>
      <c r="B56" s="33"/>
      <c r="C56" s="627" t="s">
        <v>197</v>
      </c>
      <c r="D56" s="625" t="s">
        <v>164</v>
      </c>
      <c r="E56" s="625" t="s">
        <v>198</v>
      </c>
      <c r="F56" s="627">
        <v>5.0</v>
      </c>
      <c r="G56" s="663" t="s">
        <v>73</v>
      </c>
      <c r="H56" s="664">
        <v>1.3140795E7</v>
      </c>
      <c r="I56" s="664">
        <v>2.3939906E7</v>
      </c>
      <c r="J56" s="665">
        <f>I56-H56</f>
        <v>10799111</v>
      </c>
      <c r="K56" s="630"/>
    </row>
    <row r="57">
      <c r="A57" s="51"/>
      <c r="B57" s="33"/>
      <c r="C57" s="553" t="s">
        <v>165</v>
      </c>
      <c r="D57" s="640" t="s">
        <v>63</v>
      </c>
      <c r="E57" s="640" t="s">
        <v>199</v>
      </c>
      <c r="F57" s="553">
        <v>3.0</v>
      </c>
      <c r="G57" s="554" t="s">
        <v>73</v>
      </c>
      <c r="H57" s="666"/>
      <c r="I57" s="666"/>
      <c r="J57" s="666"/>
      <c r="K57" s="667"/>
    </row>
    <row r="58">
      <c r="A58" s="69"/>
      <c r="B58" s="56"/>
      <c r="C58" s="668" t="s">
        <v>38</v>
      </c>
      <c r="D58" s="669" t="s">
        <v>43</v>
      </c>
      <c r="E58" s="669" t="s">
        <v>200</v>
      </c>
      <c r="F58" s="668">
        <v>3.0</v>
      </c>
      <c r="G58" s="670" t="s">
        <v>73</v>
      </c>
      <c r="H58" s="671">
        <v>3.1968301E7</v>
      </c>
      <c r="I58" s="671">
        <v>1.75510595E8</v>
      </c>
      <c r="J58" s="672">
        <f>I58-H58</f>
        <v>143542294</v>
      </c>
      <c r="K58" s="673"/>
    </row>
    <row r="59">
      <c r="A59" s="606" t="s">
        <v>77</v>
      </c>
      <c r="B59" s="607">
        <v>45997.0</v>
      </c>
      <c r="C59" s="674" t="s">
        <v>27</v>
      </c>
      <c r="D59" s="675" t="s">
        <v>164</v>
      </c>
      <c r="E59" s="676"/>
      <c r="F59" s="674">
        <v>4.0</v>
      </c>
      <c r="G59" s="677" t="s">
        <v>73</v>
      </c>
      <c r="H59" s="676"/>
      <c r="I59" s="678">
        <v>1.344248E7</v>
      </c>
      <c r="J59" s="679">
        <v>1.344248E7</v>
      </c>
      <c r="K59" s="680"/>
    </row>
    <row r="60">
      <c r="A60" s="255"/>
      <c r="B60" s="33"/>
      <c r="C60" s="535" t="s">
        <v>197</v>
      </c>
      <c r="D60" s="41" t="s">
        <v>71</v>
      </c>
      <c r="E60" s="41" t="s">
        <v>201</v>
      </c>
      <c r="F60" s="535">
        <v>5.0</v>
      </c>
      <c r="G60" s="581" t="s">
        <v>73</v>
      </c>
      <c r="H60" s="652">
        <v>1.239836E7</v>
      </c>
      <c r="I60" s="652">
        <v>5.9497609E7</v>
      </c>
      <c r="J60" s="653">
        <f>I60-H60</f>
        <v>47099249</v>
      </c>
      <c r="K60" s="623"/>
    </row>
    <row r="61">
      <c r="A61" s="255"/>
      <c r="B61" s="33"/>
      <c r="C61" s="525" t="s">
        <v>151</v>
      </c>
      <c r="D61" s="632" t="s">
        <v>101</v>
      </c>
      <c r="E61" s="523" t="s">
        <v>202</v>
      </c>
      <c r="F61" s="525">
        <v>3.0</v>
      </c>
      <c r="G61" s="526" t="s">
        <v>73</v>
      </c>
      <c r="H61" s="619"/>
      <c r="I61" s="619"/>
      <c r="J61" s="619"/>
      <c r="K61" s="634"/>
    </row>
    <row r="62">
      <c r="A62" s="255"/>
      <c r="B62" s="33"/>
      <c r="C62" s="531" t="s">
        <v>157</v>
      </c>
      <c r="D62" s="635" t="s">
        <v>43</v>
      </c>
      <c r="E62" s="75"/>
      <c r="F62" s="531">
        <v>4.0</v>
      </c>
      <c r="G62" s="532" t="s">
        <v>73</v>
      </c>
      <c r="H62" s="681"/>
      <c r="I62" s="681"/>
      <c r="J62" s="681"/>
      <c r="K62" s="682"/>
    </row>
    <row r="63">
      <c r="A63" s="256"/>
      <c r="B63" s="56"/>
      <c r="C63" s="683" t="s">
        <v>103</v>
      </c>
      <c r="D63" s="684" t="s">
        <v>63</v>
      </c>
      <c r="E63" s="684" t="s">
        <v>203</v>
      </c>
      <c r="F63" s="685">
        <v>5.0</v>
      </c>
      <c r="G63" s="686" t="s">
        <v>30</v>
      </c>
      <c r="H63" s="687"/>
      <c r="I63" s="687"/>
      <c r="J63" s="687"/>
      <c r="K63" s="688" t="s">
        <v>195</v>
      </c>
    </row>
    <row r="64">
      <c r="A64" s="689" t="s">
        <v>26</v>
      </c>
      <c r="B64" s="690" t="s">
        <v>204</v>
      </c>
      <c r="C64" s="646" t="s">
        <v>27</v>
      </c>
      <c r="D64" s="647" t="s">
        <v>43</v>
      </c>
      <c r="E64" s="648"/>
      <c r="F64" s="646">
        <v>4.0</v>
      </c>
      <c r="G64" s="649" t="s">
        <v>73</v>
      </c>
      <c r="H64" s="691">
        <v>9.1629748E7</v>
      </c>
      <c r="I64" s="691">
        <v>1.31208773E8</v>
      </c>
      <c r="J64" s="692">
        <f>I64-H64</f>
        <v>39579025</v>
      </c>
      <c r="K64" s="651"/>
    </row>
    <row r="65">
      <c r="A65" s="255"/>
      <c r="B65" s="33"/>
      <c r="C65" s="600" t="s">
        <v>40</v>
      </c>
      <c r="D65" s="310" t="s">
        <v>205</v>
      </c>
      <c r="E65" s="310" t="s">
        <v>206</v>
      </c>
      <c r="F65" s="600">
        <v>4.0</v>
      </c>
      <c r="G65" s="549" t="s">
        <v>73</v>
      </c>
      <c r="H65" s="693"/>
      <c r="I65" s="693"/>
      <c r="J65" s="693"/>
      <c r="K65" s="694"/>
    </row>
    <row r="66">
      <c r="A66" s="255"/>
      <c r="B66" s="33"/>
      <c r="C66" s="695" t="s">
        <v>151</v>
      </c>
      <c r="D66" s="696" t="s">
        <v>49</v>
      </c>
      <c r="E66" s="101"/>
      <c r="F66" s="695">
        <v>3.0</v>
      </c>
      <c r="G66" s="697" t="s">
        <v>73</v>
      </c>
      <c r="H66" s="698"/>
      <c r="I66" s="698"/>
      <c r="J66" s="698"/>
      <c r="K66" s="699"/>
    </row>
    <row r="67">
      <c r="A67" s="256"/>
      <c r="B67" s="56"/>
      <c r="C67" s="528" t="s">
        <v>157</v>
      </c>
      <c r="D67" s="314" t="s">
        <v>120</v>
      </c>
      <c r="E67" s="179"/>
      <c r="F67" s="528">
        <v>4.0</v>
      </c>
      <c r="G67" s="529" t="s">
        <v>73</v>
      </c>
      <c r="H67" s="700"/>
      <c r="I67" s="700"/>
      <c r="J67" s="700"/>
      <c r="K67" s="701"/>
    </row>
    <row r="68">
      <c r="A68" s="702" t="s">
        <v>41</v>
      </c>
      <c r="B68" s="690" t="s">
        <v>207</v>
      </c>
      <c r="C68" s="577" t="s">
        <v>208</v>
      </c>
      <c r="D68" s="609" t="s">
        <v>120</v>
      </c>
      <c r="E68" s="609" t="s">
        <v>209</v>
      </c>
      <c r="F68" s="577">
        <v>2.0</v>
      </c>
      <c r="G68" s="578" t="s">
        <v>73</v>
      </c>
      <c r="H68" s="703"/>
      <c r="I68" s="703"/>
      <c r="J68" s="703"/>
      <c r="K68" s="613"/>
    </row>
    <row r="69">
      <c r="A69" s="255"/>
      <c r="B69" s="33"/>
      <c r="C69" s="531" t="s">
        <v>210</v>
      </c>
      <c r="D69" s="635" t="s">
        <v>43</v>
      </c>
      <c r="E69" s="75"/>
      <c r="F69" s="531">
        <v>4.0</v>
      </c>
      <c r="G69" s="532" t="s">
        <v>73</v>
      </c>
      <c r="H69" s="704">
        <v>8948990.0</v>
      </c>
      <c r="I69" s="704">
        <v>6.6146055E7</v>
      </c>
      <c r="J69" s="705">
        <f t="shared" ref="J69:J71" si="1">I69-H69</f>
        <v>57197065</v>
      </c>
      <c r="K69" s="682"/>
    </row>
    <row r="70">
      <c r="A70" s="255"/>
      <c r="B70" s="33"/>
      <c r="C70" s="627" t="s">
        <v>211</v>
      </c>
      <c r="D70" s="625" t="s">
        <v>164</v>
      </c>
      <c r="E70" s="706"/>
      <c r="F70" s="627">
        <v>5.0</v>
      </c>
      <c r="G70" s="663" t="s">
        <v>73</v>
      </c>
      <c r="H70" s="664">
        <v>6.6146055E7</v>
      </c>
      <c r="I70" s="664">
        <v>9.4106919E7</v>
      </c>
      <c r="J70" s="665">
        <f t="shared" si="1"/>
        <v>27960864</v>
      </c>
      <c r="K70" s="630"/>
    </row>
    <row r="71">
      <c r="A71" s="256"/>
      <c r="B71" s="56"/>
      <c r="C71" s="707" t="s">
        <v>212</v>
      </c>
      <c r="D71" s="708" t="s">
        <v>71</v>
      </c>
      <c r="E71" s="709"/>
      <c r="F71" s="707">
        <v>3.0</v>
      </c>
      <c r="G71" s="710" t="s">
        <v>73</v>
      </c>
      <c r="H71" s="711">
        <v>9.4106919E7</v>
      </c>
      <c r="I71" s="711">
        <v>2.24033489E8</v>
      </c>
      <c r="J71" s="712">
        <f t="shared" si="1"/>
        <v>129926570</v>
      </c>
      <c r="K71" s="713" t="s">
        <v>213</v>
      </c>
    </row>
    <row r="72">
      <c r="A72" s="702" t="s">
        <v>45</v>
      </c>
      <c r="B72" s="690" t="s">
        <v>214</v>
      </c>
      <c r="C72" s="577" t="s">
        <v>112</v>
      </c>
      <c r="D72" s="609" t="s">
        <v>127</v>
      </c>
      <c r="E72" s="714" t="s">
        <v>215</v>
      </c>
      <c r="F72" s="577">
        <v>4.0</v>
      </c>
      <c r="G72" s="578" t="s">
        <v>73</v>
      </c>
      <c r="H72" s="703"/>
      <c r="I72" s="703"/>
      <c r="J72" s="703"/>
      <c r="K72" s="613"/>
    </row>
    <row r="73">
      <c r="A73" s="255"/>
      <c r="B73" s="33"/>
      <c r="C73" s="600" t="s">
        <v>216</v>
      </c>
      <c r="D73" s="310" t="s">
        <v>205</v>
      </c>
      <c r="E73" s="356"/>
      <c r="F73" s="600">
        <v>3.0</v>
      </c>
      <c r="G73" s="549" t="s">
        <v>73</v>
      </c>
      <c r="H73" s="693"/>
      <c r="I73" s="693"/>
      <c r="J73" s="693"/>
      <c r="K73" s="694"/>
    </row>
    <row r="74">
      <c r="A74" s="255"/>
      <c r="B74" s="33"/>
      <c r="C74" s="535" t="s">
        <v>155</v>
      </c>
      <c r="D74" s="41" t="s">
        <v>71</v>
      </c>
      <c r="E74" s="42"/>
      <c r="F74" s="535">
        <v>4.0</v>
      </c>
      <c r="G74" s="581" t="s">
        <v>73</v>
      </c>
      <c r="H74" s="715">
        <v>9.6547627E7</v>
      </c>
      <c r="I74" s="715">
        <v>2.2936885E8</v>
      </c>
      <c r="J74" s="716">
        <f t="shared" ref="J74:J75" si="2">I74-H74</f>
        <v>132821223</v>
      </c>
      <c r="K74" s="623"/>
    </row>
    <row r="75">
      <c r="A75" s="256"/>
      <c r="B75" s="56"/>
      <c r="C75" s="657" t="s">
        <v>157</v>
      </c>
      <c r="D75" s="655" t="s">
        <v>164</v>
      </c>
      <c r="E75" s="656"/>
      <c r="F75" s="657">
        <v>4.0</v>
      </c>
      <c r="G75" s="717" t="s">
        <v>73</v>
      </c>
      <c r="H75" s="718">
        <v>2.28374106E8</v>
      </c>
      <c r="I75" s="718">
        <v>2.79727164E8</v>
      </c>
      <c r="J75" s="719">
        <f t="shared" si="2"/>
        <v>51353058</v>
      </c>
      <c r="K75" s="720" t="s">
        <v>213</v>
      </c>
    </row>
    <row r="76">
      <c r="A76" s="510"/>
      <c r="B76" s="510"/>
      <c r="C76" s="510"/>
      <c r="D76" s="510"/>
      <c r="E76" s="510"/>
      <c r="F76" s="510"/>
      <c r="G76" s="510"/>
      <c r="H76" s="510"/>
      <c r="I76" s="510"/>
      <c r="J76" s="510"/>
      <c r="K76" s="510"/>
    </row>
    <row r="77">
      <c r="A77" s="721" t="s">
        <v>10</v>
      </c>
      <c r="B77" s="722" t="s">
        <v>11</v>
      </c>
      <c r="C77" s="722" t="s">
        <v>12</v>
      </c>
      <c r="D77" s="722" t="s">
        <v>13</v>
      </c>
      <c r="E77" s="722" t="s">
        <v>14</v>
      </c>
      <c r="F77" s="723" t="s">
        <v>15</v>
      </c>
      <c r="G77" s="722" t="s">
        <v>16</v>
      </c>
      <c r="H77" s="723" t="s">
        <v>217</v>
      </c>
      <c r="I77" s="723" t="s">
        <v>218</v>
      </c>
      <c r="J77" s="724" t="s">
        <v>219</v>
      </c>
      <c r="K77" s="510"/>
    </row>
    <row r="78">
      <c r="A78" s="702" t="s">
        <v>55</v>
      </c>
      <c r="B78" s="725" t="s">
        <v>220</v>
      </c>
      <c r="C78" s="577" t="s">
        <v>27</v>
      </c>
      <c r="D78" s="726" t="s">
        <v>101</v>
      </c>
      <c r="E78" s="727"/>
      <c r="F78" s="728">
        <v>4.0</v>
      </c>
      <c r="G78" s="729" t="s">
        <v>221</v>
      </c>
      <c r="H78" s="727"/>
      <c r="I78" s="727"/>
      <c r="J78" s="26"/>
      <c r="K78" s="510"/>
    </row>
    <row r="79">
      <c r="A79" s="255"/>
      <c r="B79" s="34"/>
      <c r="C79" s="531" t="s">
        <v>197</v>
      </c>
      <c r="D79" s="635" t="s">
        <v>43</v>
      </c>
      <c r="E79" s="636"/>
      <c r="F79" s="730">
        <v>5.0</v>
      </c>
      <c r="G79" s="531" t="s">
        <v>221</v>
      </c>
      <c r="H79" s="731">
        <v>3.5498274E7</v>
      </c>
      <c r="I79" s="731">
        <v>8.9618018E7</v>
      </c>
      <c r="J79" s="732">
        <f>I79-H79</f>
        <v>54119744</v>
      </c>
      <c r="K79" s="510"/>
    </row>
    <row r="80">
      <c r="A80" s="255"/>
      <c r="B80" s="34"/>
      <c r="C80" s="733" t="s">
        <v>165</v>
      </c>
      <c r="D80" s="734" t="s">
        <v>49</v>
      </c>
      <c r="E80" s="735"/>
      <c r="F80" s="736">
        <v>3.0</v>
      </c>
      <c r="G80" s="733" t="s">
        <v>221</v>
      </c>
      <c r="H80" s="735"/>
      <c r="I80" s="735"/>
      <c r="J80" s="737"/>
      <c r="K80" s="510"/>
    </row>
    <row r="81">
      <c r="A81" s="256"/>
      <c r="B81" s="80"/>
      <c r="C81" s="738" t="s">
        <v>38</v>
      </c>
      <c r="D81" s="739" t="s">
        <v>92</v>
      </c>
      <c r="E81" s="740"/>
      <c r="F81" s="741">
        <v>3.0</v>
      </c>
      <c r="G81" s="738" t="s">
        <v>221</v>
      </c>
      <c r="H81" s="740"/>
      <c r="I81" s="742">
        <v>1.95459297E8</v>
      </c>
      <c r="J81" s="743"/>
      <c r="K81" s="510"/>
    </row>
    <row r="82">
      <c r="A82" s="19" t="s">
        <v>58</v>
      </c>
      <c r="B82" s="744" t="s">
        <v>222</v>
      </c>
      <c r="C82" s="745" t="s">
        <v>223</v>
      </c>
      <c r="D82" s="746" t="s">
        <v>158</v>
      </c>
      <c r="E82" s="747"/>
      <c r="F82" s="748">
        <v>4.0</v>
      </c>
      <c r="G82" s="646" t="s">
        <v>221</v>
      </c>
      <c r="H82" s="747"/>
      <c r="I82" s="747"/>
      <c r="J82" s="749" t="s">
        <v>224</v>
      </c>
      <c r="K82" s="510"/>
    </row>
    <row r="83">
      <c r="A83" s="33"/>
      <c r="B83" s="34"/>
      <c r="C83" s="79" t="s">
        <v>25</v>
      </c>
      <c r="D83" s="41" t="s">
        <v>71</v>
      </c>
      <c r="E83" s="42"/>
      <c r="F83" s="79">
        <v>3.0</v>
      </c>
      <c r="G83" s="535" t="s">
        <v>221</v>
      </c>
      <c r="H83" s="750">
        <v>1.9118882E7</v>
      </c>
      <c r="I83" s="750">
        <v>3.6321758E7</v>
      </c>
      <c r="J83" s="751">
        <f>I83-H83</f>
        <v>17202876</v>
      </c>
      <c r="K83" s="510"/>
    </row>
    <row r="84">
      <c r="A84" s="33"/>
      <c r="B84" s="34"/>
      <c r="C84" s="752" t="s">
        <v>163</v>
      </c>
      <c r="D84" s="753" t="s">
        <v>120</v>
      </c>
      <c r="E84" s="754"/>
      <c r="F84" s="752">
        <v>3.0</v>
      </c>
      <c r="G84" s="525" t="s">
        <v>221</v>
      </c>
      <c r="H84" s="754"/>
      <c r="I84" s="755">
        <v>4.8012214E7</v>
      </c>
      <c r="J84" s="306"/>
      <c r="K84" s="510"/>
    </row>
    <row r="85">
      <c r="A85" s="56"/>
      <c r="B85" s="80"/>
      <c r="C85" s="756" t="s">
        <v>103</v>
      </c>
      <c r="D85" s="757" t="s">
        <v>164</v>
      </c>
      <c r="E85" s="758"/>
      <c r="F85" s="756">
        <v>5.0</v>
      </c>
      <c r="G85" s="657" t="s">
        <v>73</v>
      </c>
      <c r="H85" s="758"/>
      <c r="I85" s="758"/>
      <c r="J85" s="759">
        <v>6.5241474E7</v>
      </c>
      <c r="K85" s="510"/>
    </row>
    <row r="86">
      <c r="A86" s="702" t="s">
        <v>62</v>
      </c>
      <c r="B86" s="725" t="s">
        <v>225</v>
      </c>
      <c r="C86" s="646" t="s">
        <v>27</v>
      </c>
      <c r="D86" s="647" t="s">
        <v>43</v>
      </c>
      <c r="E86" s="648"/>
      <c r="F86" s="748">
        <v>4.0</v>
      </c>
      <c r="G86" s="646" t="s">
        <v>221</v>
      </c>
      <c r="H86" s="648"/>
      <c r="I86" s="648"/>
      <c r="J86" s="760">
        <v>2.5347881E7</v>
      </c>
      <c r="K86" s="510"/>
    </row>
    <row r="87">
      <c r="A87" s="255"/>
      <c r="B87" s="34"/>
      <c r="C87" s="761" t="s">
        <v>197</v>
      </c>
      <c r="D87" s="762" t="s">
        <v>164</v>
      </c>
      <c r="E87" s="762" t="s">
        <v>206</v>
      </c>
      <c r="F87" s="763">
        <v>5.0</v>
      </c>
      <c r="G87" s="761" t="s">
        <v>221</v>
      </c>
      <c r="H87" s="764">
        <v>2.5347881E7</v>
      </c>
      <c r="I87" s="764">
        <v>4.0808918E7</v>
      </c>
      <c r="J87" s="765">
        <f>I87-H87</f>
        <v>15461037</v>
      </c>
      <c r="K87" s="510"/>
    </row>
    <row r="88">
      <c r="A88" s="255"/>
      <c r="B88" s="34"/>
      <c r="C88" s="553" t="s">
        <v>165</v>
      </c>
      <c r="D88" s="766" t="s">
        <v>28</v>
      </c>
      <c r="E88" s="640" t="s">
        <v>65</v>
      </c>
      <c r="F88" s="639">
        <v>3.0</v>
      </c>
      <c r="G88" s="553" t="s">
        <v>221</v>
      </c>
      <c r="H88" s="767"/>
      <c r="I88" s="767"/>
      <c r="J88" s="768"/>
      <c r="K88" s="510"/>
    </row>
    <row r="89">
      <c r="A89" s="255"/>
      <c r="B89" s="34"/>
      <c r="C89" s="525" t="s">
        <v>38</v>
      </c>
      <c r="D89" s="632" t="s">
        <v>101</v>
      </c>
      <c r="E89" s="754"/>
      <c r="F89" s="631">
        <v>3.0</v>
      </c>
      <c r="G89" s="525" t="s">
        <v>221</v>
      </c>
      <c r="H89" s="754"/>
      <c r="I89" s="769" t="s">
        <v>226</v>
      </c>
      <c r="J89" s="306"/>
      <c r="K89" s="510"/>
    </row>
    <row r="90">
      <c r="A90" s="256"/>
      <c r="B90" s="80"/>
      <c r="C90" s="525" t="s">
        <v>38</v>
      </c>
      <c r="D90" s="632" t="s">
        <v>120</v>
      </c>
      <c r="E90" s="754"/>
      <c r="F90" s="631">
        <v>3.0</v>
      </c>
      <c r="G90" s="573" t="s">
        <v>30</v>
      </c>
      <c r="H90" s="754"/>
      <c r="I90" s="755">
        <v>3.12230134E8</v>
      </c>
      <c r="J90" s="306"/>
      <c r="K90" s="510"/>
    </row>
    <row r="91">
      <c r="A91" s="514" t="s">
        <v>77</v>
      </c>
      <c r="B91" s="744" t="s">
        <v>227</v>
      </c>
      <c r="C91" s="646" t="s">
        <v>190</v>
      </c>
      <c r="D91" s="746" t="s">
        <v>43</v>
      </c>
      <c r="E91" s="746" t="s">
        <v>65</v>
      </c>
      <c r="F91" s="748">
        <v>5.0</v>
      </c>
      <c r="G91" s="646" t="s">
        <v>221</v>
      </c>
      <c r="H91" s="747"/>
      <c r="I91" s="747"/>
      <c r="J91" s="749" t="s">
        <v>228</v>
      </c>
      <c r="K91" s="510"/>
    </row>
    <row r="92">
      <c r="A92" s="33"/>
      <c r="B92" s="34"/>
      <c r="C92" s="627" t="s">
        <v>229</v>
      </c>
      <c r="D92" s="625" t="s">
        <v>230</v>
      </c>
      <c r="E92" s="626"/>
      <c r="F92" s="624">
        <v>5.0</v>
      </c>
      <c r="G92" s="627" t="s">
        <v>221</v>
      </c>
      <c r="H92" s="770">
        <v>3.4442838E7</v>
      </c>
      <c r="I92" s="770">
        <v>9.3204109E7</v>
      </c>
      <c r="J92" s="771">
        <v>5.8761571E7</v>
      </c>
      <c r="K92" s="510"/>
    </row>
    <row r="93">
      <c r="A93" s="33"/>
      <c r="B93" s="34"/>
      <c r="C93" s="525" t="s">
        <v>165</v>
      </c>
      <c r="D93" s="632" t="s">
        <v>120</v>
      </c>
      <c r="E93" s="572"/>
      <c r="F93" s="631">
        <v>3.0</v>
      </c>
      <c r="G93" s="525" t="s">
        <v>221</v>
      </c>
      <c r="H93" s="754"/>
      <c r="I93" s="754"/>
      <c r="J93" s="306"/>
      <c r="K93" s="510"/>
    </row>
    <row r="94">
      <c r="A94" s="56"/>
      <c r="B94" s="80"/>
      <c r="C94" s="695" t="s">
        <v>38</v>
      </c>
      <c r="D94" s="772" t="s">
        <v>231</v>
      </c>
      <c r="E94" s="773"/>
      <c r="F94" s="102">
        <v>3.0</v>
      </c>
      <c r="G94" s="695" t="s">
        <v>221</v>
      </c>
      <c r="H94" s="773"/>
      <c r="I94" s="774">
        <v>1.97475747E8</v>
      </c>
      <c r="J94" s="775"/>
      <c r="K94" s="510"/>
    </row>
    <row r="95">
      <c r="A95" s="514" t="s">
        <v>26</v>
      </c>
      <c r="B95" s="744" t="s">
        <v>232</v>
      </c>
      <c r="C95" s="776" t="s">
        <v>233</v>
      </c>
      <c r="D95" s="777" t="s">
        <v>71</v>
      </c>
      <c r="E95" s="777" t="s">
        <v>65</v>
      </c>
      <c r="F95" s="95">
        <v>4.0</v>
      </c>
      <c r="G95" s="544" t="s">
        <v>221</v>
      </c>
      <c r="H95" s="778"/>
      <c r="I95" s="778"/>
      <c r="J95" s="779">
        <v>5.7772199E7</v>
      </c>
      <c r="K95" s="510"/>
    </row>
    <row r="96">
      <c r="A96" s="33"/>
      <c r="B96" s="34"/>
      <c r="C96" s="752" t="s">
        <v>25</v>
      </c>
      <c r="D96" s="753" t="s">
        <v>101</v>
      </c>
      <c r="E96" s="754"/>
      <c r="F96" s="631">
        <v>3.0</v>
      </c>
      <c r="G96" s="525" t="s">
        <v>221</v>
      </c>
      <c r="H96" s="754"/>
      <c r="I96" s="754"/>
      <c r="J96" s="306"/>
      <c r="K96" s="510"/>
    </row>
    <row r="97">
      <c r="A97" s="33"/>
      <c r="B97" s="34"/>
      <c r="C97" s="780" t="s">
        <v>163</v>
      </c>
      <c r="D97" s="772" t="s">
        <v>231</v>
      </c>
      <c r="E97" s="773"/>
      <c r="F97" s="102">
        <v>3.0</v>
      </c>
      <c r="G97" s="695" t="s">
        <v>221</v>
      </c>
      <c r="H97" s="773"/>
      <c r="I97" s="774">
        <v>1.25603674E8</v>
      </c>
      <c r="J97" s="775"/>
      <c r="K97" s="510"/>
    </row>
    <row r="98">
      <c r="A98" s="56"/>
      <c r="B98" s="80"/>
      <c r="C98" s="654" t="s">
        <v>103</v>
      </c>
      <c r="D98" s="655" t="s">
        <v>230</v>
      </c>
      <c r="E98" s="758"/>
      <c r="F98" s="654">
        <v>5.0</v>
      </c>
      <c r="G98" s="657" t="s">
        <v>73</v>
      </c>
      <c r="H98" s="758"/>
      <c r="I98" s="758"/>
      <c r="J98" s="759">
        <v>4.2988404E7</v>
      </c>
      <c r="K98" s="510"/>
    </row>
    <row r="99">
      <c r="A99" s="19" t="s">
        <v>41</v>
      </c>
      <c r="B99" s="744" t="s">
        <v>234</v>
      </c>
      <c r="C99" s="577" t="s">
        <v>112</v>
      </c>
      <c r="D99" s="726" t="s">
        <v>76</v>
      </c>
      <c r="E99" s="727"/>
      <c r="F99" s="781">
        <v>4.0</v>
      </c>
      <c r="G99" s="729" t="s">
        <v>221</v>
      </c>
      <c r="H99" s="727"/>
      <c r="I99" s="727"/>
      <c r="J99" s="26"/>
      <c r="K99" s="510"/>
    </row>
    <row r="100">
      <c r="A100" s="33"/>
      <c r="B100" s="34"/>
      <c r="C100" s="695" t="s">
        <v>40</v>
      </c>
      <c r="D100" s="782" t="s">
        <v>231</v>
      </c>
      <c r="E100" s="773"/>
      <c r="F100" s="102">
        <v>4.0</v>
      </c>
      <c r="G100" s="695" t="s">
        <v>73</v>
      </c>
      <c r="H100" s="773"/>
      <c r="I100" s="773"/>
      <c r="J100" s="775"/>
      <c r="K100" s="510"/>
    </row>
    <row r="101">
      <c r="A101" s="33"/>
      <c r="B101" s="34"/>
      <c r="C101" s="531" t="s">
        <v>211</v>
      </c>
      <c r="D101" s="635" t="s">
        <v>158</v>
      </c>
      <c r="E101" s="635" t="s">
        <v>235</v>
      </c>
      <c r="F101" s="76">
        <v>5.0</v>
      </c>
      <c r="G101" s="531" t="s">
        <v>73</v>
      </c>
      <c r="H101" s="783">
        <v>8.533658E7</v>
      </c>
      <c r="I101" s="783">
        <v>2.00694621E8</v>
      </c>
      <c r="J101" s="784">
        <v>1.1535804E8</v>
      </c>
      <c r="K101" s="510"/>
    </row>
    <row r="102">
      <c r="A102" s="56"/>
      <c r="B102" s="80"/>
      <c r="C102" s="657" t="s">
        <v>38</v>
      </c>
      <c r="D102" s="655" t="s">
        <v>164</v>
      </c>
      <c r="E102" s="758"/>
      <c r="F102" s="654">
        <v>3.0</v>
      </c>
      <c r="G102" s="657" t="s">
        <v>73</v>
      </c>
      <c r="H102" s="785">
        <v>2.00694621E8</v>
      </c>
      <c r="I102" s="785">
        <v>3.37331666E8</v>
      </c>
      <c r="J102" s="759">
        <v>1.94679365E8</v>
      </c>
      <c r="K102" s="510"/>
    </row>
    <row r="103">
      <c r="A103" s="19" t="s">
        <v>45</v>
      </c>
      <c r="B103" s="744" t="s">
        <v>236</v>
      </c>
      <c r="C103" s="786" t="s">
        <v>112</v>
      </c>
      <c r="D103" s="787" t="s">
        <v>49</v>
      </c>
      <c r="E103" s="788"/>
      <c r="F103" s="789">
        <v>4.0</v>
      </c>
      <c r="G103" s="790" t="s">
        <v>73</v>
      </c>
      <c r="H103" s="788"/>
      <c r="I103" s="788"/>
      <c r="J103" s="791">
        <v>8.1776173E7</v>
      </c>
      <c r="K103" s="510"/>
    </row>
    <row r="104">
      <c r="A104" s="33"/>
      <c r="B104" s="34"/>
      <c r="C104" s="531" t="s">
        <v>216</v>
      </c>
      <c r="D104" s="635" t="s">
        <v>43</v>
      </c>
      <c r="E104" s="75"/>
      <c r="F104" s="76">
        <v>3.0</v>
      </c>
      <c r="G104" s="531" t="s">
        <v>73</v>
      </c>
      <c r="H104" s="783">
        <v>8.1776173E7</v>
      </c>
      <c r="I104" s="783">
        <v>1.73045222E8</v>
      </c>
      <c r="J104" s="792" t="s">
        <v>237</v>
      </c>
      <c r="K104" s="510"/>
    </row>
    <row r="105">
      <c r="A105" s="33"/>
      <c r="B105" s="34"/>
      <c r="C105" s="627" t="s">
        <v>155</v>
      </c>
      <c r="D105" s="625" t="s">
        <v>230</v>
      </c>
      <c r="E105" s="625" t="s">
        <v>238</v>
      </c>
      <c r="F105" s="624">
        <v>4.0</v>
      </c>
      <c r="G105" s="627" t="s">
        <v>73</v>
      </c>
      <c r="H105" s="770">
        <v>1.29659088E8</v>
      </c>
      <c r="I105" s="770">
        <v>3.54519248E8</v>
      </c>
      <c r="J105" s="771">
        <v>2.2486016E8</v>
      </c>
      <c r="K105" s="510"/>
    </row>
    <row r="106">
      <c r="A106" s="56"/>
      <c r="B106" s="80"/>
      <c r="C106" s="707" t="s">
        <v>239</v>
      </c>
      <c r="D106" s="708" t="s">
        <v>33</v>
      </c>
      <c r="E106" s="708" t="s">
        <v>240</v>
      </c>
      <c r="F106" s="793">
        <v>4.0</v>
      </c>
      <c r="G106" s="707" t="s">
        <v>73</v>
      </c>
      <c r="H106" s="794">
        <v>2.70903382E8</v>
      </c>
      <c r="I106" s="794">
        <v>4.55565099E8</v>
      </c>
      <c r="J106" s="795">
        <v>1.84661171E8</v>
      </c>
      <c r="K106" s="510"/>
    </row>
    <row r="107">
      <c r="A107" s="510"/>
      <c r="B107" s="510"/>
      <c r="C107" s="510"/>
      <c r="D107" s="510"/>
      <c r="E107" s="510"/>
      <c r="F107" s="510"/>
      <c r="G107" s="510"/>
      <c r="H107" s="510"/>
      <c r="I107" s="510"/>
      <c r="J107" s="510"/>
      <c r="K107" s="510"/>
    </row>
    <row r="108">
      <c r="A108" s="721" t="s">
        <v>10</v>
      </c>
      <c r="B108" s="796" t="s">
        <v>11</v>
      </c>
      <c r="C108" s="796" t="s">
        <v>12</v>
      </c>
      <c r="D108" s="796" t="s">
        <v>13</v>
      </c>
      <c r="E108" s="796" t="s">
        <v>14</v>
      </c>
      <c r="F108" s="797" t="s">
        <v>15</v>
      </c>
      <c r="G108" s="796" t="s">
        <v>16</v>
      </c>
      <c r="H108" s="723" t="s">
        <v>217</v>
      </c>
      <c r="I108" s="723" t="s">
        <v>218</v>
      </c>
      <c r="J108" s="724" t="s">
        <v>219</v>
      </c>
      <c r="K108" s="510"/>
    </row>
    <row r="109">
      <c r="A109" s="702" t="s">
        <v>55</v>
      </c>
      <c r="B109" s="725" t="s">
        <v>241</v>
      </c>
      <c r="C109" s="674" t="s">
        <v>27</v>
      </c>
      <c r="D109" s="675" t="s">
        <v>164</v>
      </c>
      <c r="E109" s="625" t="s">
        <v>242</v>
      </c>
      <c r="F109" s="798">
        <v>4.0</v>
      </c>
      <c r="G109" s="799" t="s">
        <v>221</v>
      </c>
      <c r="H109" s="676"/>
      <c r="I109" s="800">
        <v>1.00629504E8</v>
      </c>
      <c r="J109" s="801">
        <v>1.00629504E8</v>
      </c>
      <c r="K109" s="510"/>
    </row>
    <row r="110">
      <c r="A110" s="255"/>
      <c r="B110" s="34"/>
      <c r="C110" s="535" t="s">
        <v>197</v>
      </c>
      <c r="D110" s="41" t="s">
        <v>33</v>
      </c>
      <c r="E110" s="802" t="s">
        <v>201</v>
      </c>
      <c r="F110" s="79">
        <v>5.0</v>
      </c>
      <c r="G110" s="803" t="s">
        <v>221</v>
      </c>
      <c r="H110" s="750">
        <v>9.1443464E7</v>
      </c>
      <c r="I110" s="750">
        <v>1.82504904E8</v>
      </c>
      <c r="J110" s="751">
        <f>I110-H110</f>
        <v>91061440</v>
      </c>
      <c r="K110" s="510"/>
    </row>
    <row r="111">
      <c r="A111" s="255"/>
      <c r="B111" s="34"/>
      <c r="C111" s="525" t="s">
        <v>165</v>
      </c>
      <c r="D111" s="632" t="s">
        <v>120</v>
      </c>
      <c r="E111" s="753" t="s">
        <v>243</v>
      </c>
      <c r="F111" s="752">
        <v>3.0</v>
      </c>
      <c r="G111" s="804" t="s">
        <v>221</v>
      </c>
      <c r="H111" s="754"/>
      <c r="I111" s="754"/>
      <c r="J111" s="306"/>
      <c r="K111" s="510"/>
    </row>
    <row r="112">
      <c r="A112" s="256"/>
      <c r="B112" s="80"/>
      <c r="C112" s="531" t="s">
        <v>38</v>
      </c>
      <c r="D112" s="635" t="s">
        <v>43</v>
      </c>
      <c r="E112" s="636"/>
      <c r="F112" s="76">
        <v>3.0</v>
      </c>
      <c r="G112" s="805" t="s">
        <v>221</v>
      </c>
      <c r="H112" s="783">
        <v>2.62663776E8</v>
      </c>
      <c r="I112" s="783">
        <v>3.52075526E8</v>
      </c>
      <c r="J112" s="784">
        <f>I112-H112</f>
        <v>89411750</v>
      </c>
      <c r="K112" s="510"/>
    </row>
    <row r="113">
      <c r="A113" s="19" t="s">
        <v>58</v>
      </c>
      <c r="B113" s="744" t="s">
        <v>244</v>
      </c>
      <c r="C113" s="806" t="s">
        <v>245</v>
      </c>
      <c r="D113" s="807" t="s">
        <v>101</v>
      </c>
      <c r="E113" s="610"/>
      <c r="F113" s="608">
        <v>3.0</v>
      </c>
      <c r="G113" s="808" t="s">
        <v>221</v>
      </c>
      <c r="H113" s="610"/>
      <c r="I113" s="610"/>
      <c r="J113" s="299"/>
      <c r="K113" s="510"/>
    </row>
    <row r="114">
      <c r="A114" s="33"/>
      <c r="B114" s="34"/>
      <c r="C114" s="76" t="s">
        <v>44</v>
      </c>
      <c r="D114" s="635" t="s">
        <v>43</v>
      </c>
      <c r="E114" s="75"/>
      <c r="F114" s="76">
        <v>4.0</v>
      </c>
      <c r="G114" s="805" t="s">
        <v>221</v>
      </c>
      <c r="H114" s="783">
        <v>4.8887827E7</v>
      </c>
      <c r="I114" s="783">
        <v>9.2315231E7</v>
      </c>
      <c r="J114" s="784">
        <f>I114-H114</f>
        <v>43427404</v>
      </c>
      <c r="K114" s="510"/>
    </row>
    <row r="115">
      <c r="A115" s="33"/>
      <c r="B115" s="34"/>
      <c r="C115" s="752" t="s">
        <v>163</v>
      </c>
      <c r="D115" s="753" t="s">
        <v>127</v>
      </c>
      <c r="E115" s="754"/>
      <c r="F115" s="752">
        <v>3.0</v>
      </c>
      <c r="G115" s="804" t="s">
        <v>221</v>
      </c>
      <c r="H115" s="754"/>
      <c r="I115" s="754"/>
      <c r="J115" s="306"/>
      <c r="K115" s="510"/>
    </row>
    <row r="116">
      <c r="A116" s="56"/>
      <c r="B116" s="80"/>
      <c r="C116" s="654" t="s">
        <v>103</v>
      </c>
      <c r="D116" s="655" t="s">
        <v>230</v>
      </c>
      <c r="E116" s="656"/>
      <c r="F116" s="654">
        <v>5.0</v>
      </c>
      <c r="G116" s="809" t="s">
        <v>73</v>
      </c>
      <c r="H116" s="656"/>
      <c r="I116" s="656"/>
      <c r="J116" s="810">
        <v>1.03640544E8</v>
      </c>
      <c r="K116" s="510"/>
    </row>
    <row r="117">
      <c r="A117" s="702" t="s">
        <v>62</v>
      </c>
      <c r="B117" s="725" t="s">
        <v>246</v>
      </c>
      <c r="C117" s="577" t="s">
        <v>27</v>
      </c>
      <c r="D117" s="807" t="s">
        <v>101</v>
      </c>
      <c r="E117" s="610"/>
      <c r="F117" s="608">
        <v>4.0</v>
      </c>
      <c r="G117" s="808" t="s">
        <v>221</v>
      </c>
      <c r="H117" s="610"/>
      <c r="I117" s="610"/>
      <c r="J117" s="299"/>
      <c r="K117" s="510"/>
    </row>
    <row r="118">
      <c r="A118" s="255"/>
      <c r="B118" s="34"/>
      <c r="C118" s="531" t="s">
        <v>197</v>
      </c>
      <c r="D118" s="635" t="s">
        <v>43</v>
      </c>
      <c r="E118" s="635" t="s">
        <v>247</v>
      </c>
      <c r="F118" s="76">
        <v>5.0</v>
      </c>
      <c r="G118" s="805" t="s">
        <v>221</v>
      </c>
      <c r="H118" s="783">
        <v>4.5370196E7</v>
      </c>
      <c r="I118" s="783">
        <v>8.6272638E7</v>
      </c>
      <c r="J118" s="784">
        <f t="shared" ref="J118:J119" si="3">I118-H118</f>
        <v>40902442</v>
      </c>
      <c r="K118" s="510"/>
    </row>
    <row r="119">
      <c r="A119" s="255"/>
      <c r="B119" s="34"/>
      <c r="C119" s="627" t="s">
        <v>165</v>
      </c>
      <c r="D119" s="811" t="s">
        <v>230</v>
      </c>
      <c r="E119" s="625" t="s">
        <v>65</v>
      </c>
      <c r="F119" s="624">
        <v>3.0</v>
      </c>
      <c r="G119" s="812" t="s">
        <v>221</v>
      </c>
      <c r="H119" s="813">
        <v>7.3635295E7</v>
      </c>
      <c r="I119" s="813">
        <v>1.19538806E8</v>
      </c>
      <c r="J119" s="814">
        <f t="shared" si="3"/>
        <v>45903511</v>
      </c>
      <c r="K119" s="510"/>
    </row>
    <row r="120">
      <c r="A120" s="256"/>
      <c r="B120" s="80"/>
      <c r="C120" s="525" t="s">
        <v>38</v>
      </c>
      <c r="D120" s="632" t="s">
        <v>120</v>
      </c>
      <c r="E120" s="754"/>
      <c r="F120" s="631">
        <v>3.0</v>
      </c>
      <c r="G120" s="804" t="s">
        <v>221</v>
      </c>
      <c r="H120" s="754"/>
      <c r="I120" s="754"/>
      <c r="J120" s="306"/>
      <c r="K120" s="510"/>
    </row>
    <row r="121">
      <c r="A121" s="514" t="s">
        <v>77</v>
      </c>
      <c r="B121" s="744" t="s">
        <v>248</v>
      </c>
      <c r="C121" s="519" t="s">
        <v>190</v>
      </c>
      <c r="D121" s="815" t="s">
        <v>43</v>
      </c>
      <c r="E121" s="815" t="s">
        <v>249</v>
      </c>
      <c r="F121" s="816">
        <v>5.0</v>
      </c>
      <c r="G121" s="817" t="s">
        <v>221</v>
      </c>
      <c r="H121" s="518"/>
      <c r="I121" s="518"/>
      <c r="J121" s="818">
        <v>1.56140679E8</v>
      </c>
      <c r="K121" s="510"/>
    </row>
    <row r="122">
      <c r="A122" s="33"/>
      <c r="B122" s="34"/>
      <c r="C122" s="819" t="s">
        <v>192</v>
      </c>
      <c r="D122" s="820" t="s">
        <v>82</v>
      </c>
      <c r="E122" s="821"/>
      <c r="F122" s="822">
        <v>4.0</v>
      </c>
      <c r="G122" s="823" t="s">
        <v>221</v>
      </c>
      <c r="H122" s="824"/>
      <c r="I122" s="824"/>
      <c r="J122" s="825"/>
      <c r="K122" s="510"/>
    </row>
    <row r="123">
      <c r="A123" s="33"/>
      <c r="B123" s="34"/>
      <c r="C123" s="553" t="s">
        <v>59</v>
      </c>
      <c r="D123" s="640" t="s">
        <v>28</v>
      </c>
      <c r="E123" s="552"/>
      <c r="F123" s="639">
        <v>5.0</v>
      </c>
      <c r="G123" s="826" t="s">
        <v>221</v>
      </c>
      <c r="H123" s="827"/>
      <c r="I123" s="827"/>
      <c r="J123" s="828">
        <v>5.07938787E8</v>
      </c>
      <c r="K123" s="510"/>
    </row>
    <row r="124">
      <c r="A124" s="56"/>
      <c r="B124" s="80"/>
      <c r="C124" s="627" t="s">
        <v>157</v>
      </c>
      <c r="D124" s="625" t="s">
        <v>230</v>
      </c>
      <c r="E124" s="706"/>
      <c r="F124" s="624">
        <v>4.0</v>
      </c>
      <c r="G124" s="812" t="s">
        <v>221</v>
      </c>
      <c r="H124" s="770">
        <v>3.64047268E8</v>
      </c>
      <c r="I124" s="770">
        <v>5.89352061E8</v>
      </c>
      <c r="J124" s="771">
        <f>I124-H124</f>
        <v>225304793</v>
      </c>
      <c r="K124" s="510"/>
    </row>
    <row r="125">
      <c r="A125" s="514" t="s">
        <v>26</v>
      </c>
      <c r="B125" s="744" t="s">
        <v>250</v>
      </c>
      <c r="C125" s="646" t="s">
        <v>27</v>
      </c>
      <c r="D125" s="647" t="s">
        <v>43</v>
      </c>
      <c r="E125" s="746" t="s">
        <v>242</v>
      </c>
      <c r="F125" s="748">
        <v>4.0</v>
      </c>
      <c r="G125" s="829" t="s">
        <v>221</v>
      </c>
      <c r="H125" s="747"/>
      <c r="I125" s="747"/>
      <c r="J125" s="830">
        <v>7.1781798E7</v>
      </c>
      <c r="K125" s="510"/>
    </row>
    <row r="126">
      <c r="A126" s="33"/>
      <c r="B126" s="34"/>
      <c r="C126" s="535" t="s">
        <v>40</v>
      </c>
      <c r="D126" s="41" t="s">
        <v>33</v>
      </c>
      <c r="E126" s="621" t="s">
        <v>206</v>
      </c>
      <c r="F126" s="79">
        <v>4.0</v>
      </c>
      <c r="G126" s="803" t="s">
        <v>221</v>
      </c>
      <c r="H126" s="831">
        <v>6.258188E7</v>
      </c>
      <c r="I126" s="831">
        <v>1.78070405E8</v>
      </c>
      <c r="J126" s="832">
        <f>I126-H126</f>
        <v>115488525</v>
      </c>
      <c r="K126" s="510"/>
    </row>
    <row r="127">
      <c r="A127" s="33"/>
      <c r="B127" s="34"/>
      <c r="C127" s="695" t="s">
        <v>31</v>
      </c>
      <c r="D127" s="772" t="s">
        <v>251</v>
      </c>
      <c r="E127" s="772" t="s">
        <v>252</v>
      </c>
      <c r="F127" s="102">
        <v>4.0</v>
      </c>
      <c r="G127" s="833" t="s">
        <v>221</v>
      </c>
      <c r="H127" s="773"/>
      <c r="I127" s="773"/>
      <c r="J127" s="775"/>
      <c r="K127" s="510"/>
    </row>
    <row r="128">
      <c r="A128" s="33"/>
      <c r="B128" s="34"/>
      <c r="C128" s="834" t="s">
        <v>38</v>
      </c>
      <c r="D128" s="835" t="s">
        <v>36</v>
      </c>
      <c r="E128" s="836"/>
      <c r="F128" s="837">
        <v>3.0</v>
      </c>
      <c r="G128" s="838" t="s">
        <v>73</v>
      </c>
      <c r="H128" s="836"/>
      <c r="I128" s="836"/>
      <c r="J128" s="839"/>
      <c r="K128" s="510"/>
    </row>
    <row r="129">
      <c r="A129" s="56"/>
      <c r="B129" s="80"/>
      <c r="C129" s="553" t="s">
        <v>103</v>
      </c>
      <c r="D129" s="684" t="s">
        <v>28</v>
      </c>
      <c r="E129" s="840"/>
      <c r="F129" s="639">
        <v>5.0</v>
      </c>
      <c r="G129" s="686" t="s">
        <v>133</v>
      </c>
      <c r="H129" s="840"/>
      <c r="I129" s="840"/>
      <c r="J129" s="841"/>
      <c r="K129" s="510"/>
    </row>
    <row r="130">
      <c r="A130" s="19" t="s">
        <v>41</v>
      </c>
      <c r="B130" s="744" t="s">
        <v>253</v>
      </c>
      <c r="C130" s="544" t="s">
        <v>254</v>
      </c>
      <c r="D130" s="777" t="s">
        <v>33</v>
      </c>
      <c r="E130" s="778"/>
      <c r="F130" s="95">
        <v>5.0</v>
      </c>
      <c r="G130" s="842" t="s">
        <v>221</v>
      </c>
      <c r="H130" s="778"/>
      <c r="I130" s="778"/>
      <c r="J130" s="843"/>
      <c r="K130" s="510"/>
    </row>
    <row r="131">
      <c r="A131" s="33"/>
      <c r="B131" s="34"/>
      <c r="C131" s="834" t="s">
        <v>34</v>
      </c>
      <c r="D131" s="844" t="s">
        <v>36</v>
      </c>
      <c r="E131" s="845"/>
      <c r="F131" s="837">
        <v>3.0</v>
      </c>
      <c r="G131" s="846" t="s">
        <v>73</v>
      </c>
      <c r="H131" s="845"/>
      <c r="I131" s="845"/>
      <c r="J131" s="847"/>
      <c r="K131" s="510"/>
    </row>
    <row r="132">
      <c r="A132" s="33"/>
      <c r="B132" s="34"/>
      <c r="C132" s="553" t="s">
        <v>151</v>
      </c>
      <c r="D132" s="766" t="s">
        <v>127</v>
      </c>
      <c r="E132" s="766" t="s">
        <v>63</v>
      </c>
      <c r="F132" s="639">
        <v>3.0</v>
      </c>
      <c r="G132" s="826" t="s">
        <v>73</v>
      </c>
      <c r="H132" s="767"/>
      <c r="I132" s="767"/>
      <c r="J132" s="768"/>
      <c r="K132" s="510"/>
    </row>
    <row r="133">
      <c r="A133" s="56"/>
      <c r="B133" s="80"/>
      <c r="C133" s="657" t="s">
        <v>157</v>
      </c>
      <c r="D133" s="655" t="s">
        <v>230</v>
      </c>
      <c r="E133" s="758"/>
      <c r="F133" s="654">
        <v>4.0</v>
      </c>
      <c r="G133" s="809" t="s">
        <v>73</v>
      </c>
      <c r="H133" s="785">
        <v>1.28836049E8</v>
      </c>
      <c r="I133" s="785">
        <v>2.22580404E8</v>
      </c>
      <c r="J133" s="759">
        <f>I133-H133</f>
        <v>93744355</v>
      </c>
      <c r="K133" s="510"/>
    </row>
    <row r="134">
      <c r="A134" s="19" t="s">
        <v>45</v>
      </c>
      <c r="B134" s="744" t="s">
        <v>255</v>
      </c>
      <c r="C134" s="544" t="s">
        <v>112</v>
      </c>
      <c r="D134" s="848" t="s">
        <v>33</v>
      </c>
      <c r="E134" s="849"/>
      <c r="F134" s="850">
        <v>4.0</v>
      </c>
      <c r="G134" s="851" t="s">
        <v>73</v>
      </c>
      <c r="H134" s="849"/>
      <c r="I134" s="849"/>
      <c r="J134" s="852"/>
      <c r="K134" s="510"/>
    </row>
    <row r="135">
      <c r="A135" s="33"/>
      <c r="B135" s="34"/>
      <c r="C135" s="627" t="s">
        <v>40</v>
      </c>
      <c r="D135" s="625" t="s">
        <v>230</v>
      </c>
      <c r="E135" s="626"/>
      <c r="F135" s="624">
        <v>4.0</v>
      </c>
      <c r="G135" s="812" t="s">
        <v>73</v>
      </c>
      <c r="H135" s="813">
        <v>4.8225613E7</v>
      </c>
      <c r="I135" s="813">
        <v>1.01075364E8</v>
      </c>
      <c r="J135" s="814">
        <f>I135-H135</f>
        <v>52849751</v>
      </c>
      <c r="K135" s="510"/>
    </row>
    <row r="136">
      <c r="A136" s="33"/>
      <c r="B136" s="34"/>
      <c r="C136" s="525" t="s">
        <v>151</v>
      </c>
      <c r="D136" s="632" t="s">
        <v>127</v>
      </c>
      <c r="E136" s="754"/>
      <c r="F136" s="631">
        <v>3.0</v>
      </c>
      <c r="G136" s="804" t="s">
        <v>73</v>
      </c>
      <c r="H136" s="754"/>
      <c r="I136" s="754"/>
      <c r="J136" s="306"/>
      <c r="K136" s="510"/>
    </row>
    <row r="137">
      <c r="A137" s="33"/>
      <c r="B137" s="34"/>
      <c r="C137" s="604" t="s">
        <v>157</v>
      </c>
      <c r="D137" s="853" t="s">
        <v>43</v>
      </c>
      <c r="E137" s="854"/>
      <c r="F137" s="855">
        <v>4.0</v>
      </c>
      <c r="G137" s="856" t="s">
        <v>73</v>
      </c>
      <c r="H137" s="857">
        <v>1.3737733E8</v>
      </c>
      <c r="I137" s="857">
        <v>2.41265509E8</v>
      </c>
      <c r="J137" s="858">
        <f>I137-H137</f>
        <v>103888179</v>
      </c>
      <c r="K137" s="510"/>
    </row>
    <row r="138">
      <c r="A138" s="33"/>
      <c r="B138" s="34"/>
      <c r="C138" s="834" t="s">
        <v>27</v>
      </c>
      <c r="D138" s="859" t="s">
        <v>36</v>
      </c>
      <c r="E138" s="845"/>
      <c r="F138" s="860">
        <v>4.0</v>
      </c>
      <c r="G138" s="861" t="s">
        <v>133</v>
      </c>
      <c r="H138" s="845"/>
      <c r="I138" s="845"/>
      <c r="J138" s="847"/>
      <c r="K138" s="510"/>
    </row>
    <row r="139">
      <c r="A139" s="33"/>
      <c r="B139" s="34"/>
      <c r="C139" s="695" t="s">
        <v>197</v>
      </c>
      <c r="D139" s="772" t="s">
        <v>251</v>
      </c>
      <c r="E139" s="773"/>
      <c r="F139" s="780">
        <v>5.0</v>
      </c>
      <c r="G139" s="862" t="s">
        <v>133</v>
      </c>
      <c r="H139" s="773"/>
      <c r="I139" s="773"/>
      <c r="J139" s="775"/>
      <c r="K139" s="510"/>
    </row>
    <row r="140">
      <c r="A140" s="56"/>
      <c r="B140" s="80"/>
      <c r="C140" s="863" t="s">
        <v>165</v>
      </c>
      <c r="D140" s="864" t="s">
        <v>82</v>
      </c>
      <c r="E140" s="865"/>
      <c r="F140" s="866">
        <v>3.0</v>
      </c>
      <c r="G140" s="867" t="s">
        <v>133</v>
      </c>
      <c r="H140" s="865"/>
      <c r="I140" s="865"/>
      <c r="J140" s="868"/>
      <c r="K140" s="510"/>
    </row>
    <row r="141">
      <c r="A141" s="19" t="s">
        <v>55</v>
      </c>
      <c r="B141" s="725" t="s">
        <v>256</v>
      </c>
      <c r="C141" s="519" t="s">
        <v>190</v>
      </c>
      <c r="D141" s="815" t="s">
        <v>43</v>
      </c>
      <c r="E141" s="869"/>
      <c r="F141" s="870">
        <v>5.0</v>
      </c>
      <c r="G141" s="871" t="s">
        <v>73</v>
      </c>
      <c r="H141" s="869"/>
      <c r="I141" s="869"/>
      <c r="J141" s="872">
        <v>1.47912841E8</v>
      </c>
      <c r="K141" s="510"/>
    </row>
    <row r="142">
      <c r="A142" s="33"/>
      <c r="B142" s="34"/>
      <c r="C142" s="695" t="s">
        <v>257</v>
      </c>
      <c r="D142" s="696" t="s">
        <v>251</v>
      </c>
      <c r="E142" s="773"/>
      <c r="F142" s="780">
        <v>4.0</v>
      </c>
      <c r="G142" s="873" t="s">
        <v>73</v>
      </c>
      <c r="H142" s="773"/>
      <c r="I142" s="773"/>
      <c r="J142" s="775"/>
      <c r="K142" s="510"/>
    </row>
    <row r="143">
      <c r="A143" s="56"/>
      <c r="B143" s="80"/>
      <c r="C143" s="553" t="s">
        <v>165</v>
      </c>
      <c r="D143" s="640" t="s">
        <v>28</v>
      </c>
      <c r="E143" s="640" t="s">
        <v>258</v>
      </c>
      <c r="F143" s="874">
        <v>3.0</v>
      </c>
      <c r="G143" s="875" t="s">
        <v>73</v>
      </c>
      <c r="H143" s="767"/>
      <c r="I143" s="767"/>
      <c r="J143" s="768"/>
      <c r="K143" s="510"/>
    </row>
  </sheetData>
  <mergeCells count="78">
    <mergeCell ref="A82:A85"/>
    <mergeCell ref="A86:A90"/>
    <mergeCell ref="B86:B90"/>
    <mergeCell ref="A91:A94"/>
    <mergeCell ref="B91:B94"/>
    <mergeCell ref="A95:A98"/>
    <mergeCell ref="B95:B98"/>
    <mergeCell ref="A113:A116"/>
    <mergeCell ref="A117:A120"/>
    <mergeCell ref="A121:A124"/>
    <mergeCell ref="A125:A129"/>
    <mergeCell ref="A130:A133"/>
    <mergeCell ref="A134:A140"/>
    <mergeCell ref="A141:A143"/>
    <mergeCell ref="B117:B120"/>
    <mergeCell ref="B121:B124"/>
    <mergeCell ref="B125:B129"/>
    <mergeCell ref="B130:B133"/>
    <mergeCell ref="B134:B140"/>
    <mergeCell ref="B141:B143"/>
    <mergeCell ref="A99:A102"/>
    <mergeCell ref="B99:B102"/>
    <mergeCell ref="A103:A106"/>
    <mergeCell ref="B103:B106"/>
    <mergeCell ref="A109:A112"/>
    <mergeCell ref="B109:B112"/>
    <mergeCell ref="B113:B116"/>
    <mergeCell ref="H6:H8"/>
    <mergeCell ref="H11:H14"/>
    <mergeCell ref="H15:H19"/>
    <mergeCell ref="H20:H23"/>
    <mergeCell ref="H24:H28"/>
    <mergeCell ref="H29:H32"/>
    <mergeCell ref="H33:H36"/>
    <mergeCell ref="H37:H40"/>
    <mergeCell ref="A3:A5"/>
    <mergeCell ref="B3:B5"/>
    <mergeCell ref="H3:H5"/>
    <mergeCell ref="A6:A10"/>
    <mergeCell ref="B6:B10"/>
    <mergeCell ref="A11:A14"/>
    <mergeCell ref="B11:B14"/>
    <mergeCell ref="A15:A23"/>
    <mergeCell ref="B15:B23"/>
    <mergeCell ref="C16:C17"/>
    <mergeCell ref="D16:D17"/>
    <mergeCell ref="E16:E17"/>
    <mergeCell ref="F16:F17"/>
    <mergeCell ref="G16:G17"/>
    <mergeCell ref="A24:A32"/>
    <mergeCell ref="B24:B32"/>
    <mergeCell ref="C31:C32"/>
    <mergeCell ref="D31:D32"/>
    <mergeCell ref="E31:E32"/>
    <mergeCell ref="F31:F32"/>
    <mergeCell ref="G31:G32"/>
    <mergeCell ref="B55:B58"/>
    <mergeCell ref="B59:B63"/>
    <mergeCell ref="B64:B67"/>
    <mergeCell ref="B68:B71"/>
    <mergeCell ref="B72:B75"/>
    <mergeCell ref="E72:E73"/>
    <mergeCell ref="B78:B81"/>
    <mergeCell ref="B82:B85"/>
    <mergeCell ref="A33:A36"/>
    <mergeCell ref="B33:B36"/>
    <mergeCell ref="A37:A40"/>
    <mergeCell ref="B37:B40"/>
    <mergeCell ref="A42:A49"/>
    <mergeCell ref="B42:B49"/>
    <mergeCell ref="B50:B54"/>
    <mergeCell ref="A50:A54"/>
    <mergeCell ref="A55:A58"/>
    <mergeCell ref="A59:A63"/>
    <mergeCell ref="A64:A67"/>
    <mergeCell ref="A68:A71"/>
    <mergeCell ref="A72:A75"/>
    <mergeCell ref="A78:A81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7.5"/>
    <col customWidth="1" min="5" max="5" width="19.0"/>
    <col customWidth="1" min="8" max="8" width="20.13"/>
    <col hidden="1" min="9" max="19" width="12.63"/>
    <col customWidth="1" hidden="1" min="20" max="20" width="9.63"/>
    <col hidden="1" min="21" max="23" width="12.63"/>
  </cols>
  <sheetData>
    <row r="1">
      <c r="A1" s="876" t="s">
        <v>259</v>
      </c>
      <c r="P1" s="877" t="s">
        <v>260</v>
      </c>
    </row>
    <row r="2">
      <c r="P2" s="5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7" t="s">
        <v>9</v>
      </c>
    </row>
    <row r="3">
      <c r="A3" s="878" t="s">
        <v>10</v>
      </c>
      <c r="B3" s="879" t="s">
        <v>11</v>
      </c>
      <c r="C3" s="879" t="s">
        <v>12</v>
      </c>
      <c r="D3" s="879" t="s">
        <v>13</v>
      </c>
      <c r="E3" s="879" t="s">
        <v>14</v>
      </c>
      <c r="F3" s="880" t="s">
        <v>15</v>
      </c>
      <c r="G3" s="879" t="s">
        <v>16</v>
      </c>
      <c r="H3" s="881" t="s">
        <v>17</v>
      </c>
      <c r="I3" s="880" t="s">
        <v>261</v>
      </c>
      <c r="J3" s="880" t="s">
        <v>21</v>
      </c>
      <c r="K3" s="882" t="s">
        <v>22</v>
      </c>
      <c r="L3" s="251" t="s">
        <v>23</v>
      </c>
      <c r="M3" s="510"/>
      <c r="P3" s="13">
        <v>1.0</v>
      </c>
      <c r="Q3" s="14" t="s">
        <v>251</v>
      </c>
      <c r="R3" s="883">
        <v>45841.0</v>
      </c>
      <c r="S3" s="884" t="s">
        <v>157</v>
      </c>
      <c r="T3" s="16">
        <v>4.0</v>
      </c>
      <c r="U3" s="885">
        <v>130.0</v>
      </c>
      <c r="V3" s="885">
        <f t="shared" ref="V3:V37" si="1">T3*U3</f>
        <v>520</v>
      </c>
      <c r="W3" s="886">
        <f>SUM(V3:V10)</f>
        <v>4355</v>
      </c>
    </row>
    <row r="4">
      <c r="A4" s="19" t="s">
        <v>55</v>
      </c>
      <c r="B4" s="887" t="s">
        <v>256</v>
      </c>
      <c r="C4" s="888" t="s">
        <v>190</v>
      </c>
      <c r="D4" s="647" t="s">
        <v>43</v>
      </c>
      <c r="E4" s="747"/>
      <c r="F4" s="745">
        <v>5.0</v>
      </c>
      <c r="G4" s="889" t="s">
        <v>73</v>
      </c>
      <c r="H4" s="747"/>
      <c r="I4" s="727"/>
      <c r="J4" s="727"/>
      <c r="K4" s="727"/>
      <c r="L4" s="26"/>
      <c r="M4" s="510"/>
      <c r="P4" s="33"/>
      <c r="Q4" s="34"/>
      <c r="R4" s="890">
        <v>45842.0</v>
      </c>
      <c r="S4" s="891" t="s">
        <v>262</v>
      </c>
      <c r="T4" s="36">
        <v>5.0</v>
      </c>
      <c r="U4" s="892">
        <v>130.0</v>
      </c>
      <c r="V4" s="892">
        <f t="shared" si="1"/>
        <v>650</v>
      </c>
      <c r="W4" s="142"/>
    </row>
    <row r="5">
      <c r="A5" s="33"/>
      <c r="B5" s="39"/>
      <c r="C5" s="893" t="s">
        <v>257</v>
      </c>
      <c r="D5" s="894" t="s">
        <v>251</v>
      </c>
      <c r="E5" s="895"/>
      <c r="F5" s="896">
        <v>4.0</v>
      </c>
      <c r="G5" s="897" t="s">
        <v>73</v>
      </c>
      <c r="H5" s="898"/>
      <c r="I5" s="899"/>
      <c r="J5" s="899"/>
      <c r="K5" s="899"/>
      <c r="L5" s="900"/>
      <c r="M5" s="510"/>
      <c r="P5" s="33"/>
      <c r="Q5" s="34"/>
      <c r="R5" s="356"/>
      <c r="S5" s="891" t="s">
        <v>38</v>
      </c>
      <c r="T5" s="36">
        <v>3.0</v>
      </c>
      <c r="U5" s="892">
        <v>130.0</v>
      </c>
      <c r="V5" s="892">
        <f t="shared" si="1"/>
        <v>390</v>
      </c>
      <c r="W5" s="142"/>
    </row>
    <row r="6">
      <c r="A6" s="33"/>
      <c r="B6" s="39"/>
      <c r="C6" s="901"/>
      <c r="D6" s="356"/>
      <c r="E6" s="356"/>
      <c r="F6" s="356"/>
      <c r="G6" s="356"/>
      <c r="H6" s="356"/>
      <c r="I6" s="356"/>
      <c r="J6" s="356"/>
      <c r="K6" s="356"/>
      <c r="L6" s="158"/>
      <c r="M6" s="510"/>
      <c r="P6" s="33"/>
      <c r="Q6" s="34"/>
      <c r="R6" s="902">
        <v>45843.0</v>
      </c>
      <c r="S6" s="891" t="s">
        <v>263</v>
      </c>
      <c r="T6" s="36">
        <v>3.5</v>
      </c>
      <c r="U6" s="892">
        <v>130.0</v>
      </c>
      <c r="V6" s="892">
        <f t="shared" si="1"/>
        <v>455</v>
      </c>
      <c r="W6" s="142"/>
    </row>
    <row r="7">
      <c r="A7" s="33"/>
      <c r="B7" s="39"/>
      <c r="C7" s="903" t="s">
        <v>165</v>
      </c>
      <c r="D7" s="640" t="s">
        <v>28</v>
      </c>
      <c r="E7" s="640" t="s">
        <v>258</v>
      </c>
      <c r="F7" s="874">
        <v>3.0</v>
      </c>
      <c r="G7" s="875" t="s">
        <v>73</v>
      </c>
      <c r="H7" s="767"/>
      <c r="I7" s="904"/>
      <c r="J7" s="905"/>
      <c r="K7" s="905"/>
      <c r="L7" s="906"/>
      <c r="M7" s="510"/>
      <c r="P7" s="33"/>
      <c r="Q7" s="34"/>
      <c r="R7" s="902">
        <v>45844.0</v>
      </c>
      <c r="S7" s="891" t="s">
        <v>44</v>
      </c>
      <c r="T7" s="36">
        <v>4.0</v>
      </c>
      <c r="U7" s="892">
        <v>130.0</v>
      </c>
      <c r="V7" s="892">
        <f t="shared" si="1"/>
        <v>520</v>
      </c>
      <c r="W7" s="142"/>
    </row>
    <row r="8">
      <c r="A8" s="33"/>
      <c r="B8" s="39"/>
      <c r="C8" s="907" t="s">
        <v>38</v>
      </c>
      <c r="D8" s="757" t="s">
        <v>164</v>
      </c>
      <c r="E8" s="758"/>
      <c r="F8" s="756">
        <v>3.0</v>
      </c>
      <c r="G8" s="908" t="s">
        <v>73</v>
      </c>
      <c r="H8" s="758"/>
      <c r="I8" s="909"/>
      <c r="J8" s="910"/>
      <c r="K8" s="910"/>
      <c r="L8" s="911"/>
      <c r="M8" s="510"/>
      <c r="P8" s="33"/>
      <c r="Q8" s="34"/>
      <c r="R8" s="902">
        <v>45845.0</v>
      </c>
      <c r="S8" s="891" t="s">
        <v>40</v>
      </c>
      <c r="T8" s="36">
        <v>4.0</v>
      </c>
      <c r="U8" s="892">
        <v>130.0</v>
      </c>
      <c r="V8" s="892">
        <f t="shared" si="1"/>
        <v>520</v>
      </c>
      <c r="W8" s="142"/>
    </row>
    <row r="9">
      <c r="A9" s="56"/>
      <c r="B9" s="57"/>
      <c r="C9" s="912" t="s">
        <v>103</v>
      </c>
      <c r="D9" s="913" t="s">
        <v>36</v>
      </c>
      <c r="E9" s="914"/>
      <c r="F9" s="915">
        <v>5.0</v>
      </c>
      <c r="G9" s="916" t="s">
        <v>133</v>
      </c>
      <c r="H9" s="917" t="s">
        <v>264</v>
      </c>
      <c r="I9" s="918"/>
      <c r="J9" s="919"/>
      <c r="K9" s="919"/>
      <c r="L9" s="920"/>
      <c r="M9" s="510"/>
      <c r="P9" s="33"/>
      <c r="Q9" s="34"/>
      <c r="R9" s="902">
        <v>45846.0</v>
      </c>
      <c r="S9" s="891" t="s">
        <v>157</v>
      </c>
      <c r="T9" s="36">
        <v>4.0</v>
      </c>
      <c r="U9" s="892">
        <v>130.0</v>
      </c>
      <c r="V9" s="892">
        <f t="shared" si="1"/>
        <v>520</v>
      </c>
      <c r="W9" s="142"/>
    </row>
    <row r="10">
      <c r="A10" s="19" t="s">
        <v>58</v>
      </c>
      <c r="B10" s="921">
        <v>45664.0</v>
      </c>
      <c r="C10" s="888" t="s">
        <v>27</v>
      </c>
      <c r="D10" s="22" t="s">
        <v>63</v>
      </c>
      <c r="E10" s="23" t="s">
        <v>265</v>
      </c>
      <c r="F10" s="922">
        <v>4.0</v>
      </c>
      <c r="G10" s="923" t="s">
        <v>73</v>
      </c>
      <c r="H10" s="924"/>
      <c r="I10" s="727"/>
      <c r="J10" s="925"/>
      <c r="K10" s="925"/>
      <c r="L10" s="926">
        <f>K12</f>
        <v>750000</v>
      </c>
      <c r="M10" s="510"/>
      <c r="P10" s="56"/>
      <c r="Q10" s="80"/>
      <c r="R10" s="927">
        <v>45851.0</v>
      </c>
      <c r="S10" s="928" t="s">
        <v>266</v>
      </c>
      <c r="T10" s="82">
        <v>6.0</v>
      </c>
      <c r="U10" s="929">
        <v>130.0</v>
      </c>
      <c r="V10" s="929">
        <f t="shared" si="1"/>
        <v>780</v>
      </c>
      <c r="W10" s="182"/>
    </row>
    <row r="11">
      <c r="A11" s="33"/>
      <c r="B11" s="142"/>
      <c r="C11" s="930" t="s">
        <v>32</v>
      </c>
      <c r="D11" s="635" t="s">
        <v>43</v>
      </c>
      <c r="E11" s="931" t="s">
        <v>267</v>
      </c>
      <c r="F11" s="932">
        <v>4.5</v>
      </c>
      <c r="G11" s="933" t="s">
        <v>73</v>
      </c>
      <c r="H11" s="636"/>
      <c r="I11" s="904"/>
      <c r="J11" s="905"/>
      <c r="K11" s="905"/>
      <c r="L11" s="142"/>
      <c r="M11" s="510" t="s">
        <v>268</v>
      </c>
      <c r="P11" s="934">
        <v>2.0</v>
      </c>
      <c r="Q11" s="935" t="s">
        <v>82</v>
      </c>
      <c r="R11" s="936">
        <v>45842.0</v>
      </c>
      <c r="S11" s="937" t="s">
        <v>216</v>
      </c>
      <c r="T11" s="938">
        <v>3.0</v>
      </c>
      <c r="U11" s="939">
        <v>230.0</v>
      </c>
      <c r="V11" s="939">
        <f t="shared" si="1"/>
        <v>690</v>
      </c>
      <c r="W11" s="940">
        <f>sum(V11:V18)</f>
        <v>6670</v>
      </c>
    </row>
    <row r="12">
      <c r="A12" s="33"/>
      <c r="B12" s="142"/>
      <c r="C12" s="930" t="s">
        <v>269</v>
      </c>
      <c r="D12" s="632" t="s">
        <v>184</v>
      </c>
      <c r="E12" s="572"/>
      <c r="F12" s="941">
        <v>2.5</v>
      </c>
      <c r="G12" s="942" t="s">
        <v>73</v>
      </c>
      <c r="H12" s="754"/>
      <c r="I12" s="943">
        <v>300000.0</v>
      </c>
      <c r="J12" s="905"/>
      <c r="K12" s="943">
        <f>I12*F12</f>
        <v>750000</v>
      </c>
      <c r="L12" s="142"/>
      <c r="M12" s="510"/>
      <c r="P12" s="33"/>
      <c r="Q12" s="34"/>
      <c r="R12" s="944">
        <v>45849.0</v>
      </c>
      <c r="S12" s="945" t="s">
        <v>27</v>
      </c>
      <c r="T12" s="36">
        <v>4.0</v>
      </c>
      <c r="U12" s="946">
        <v>230.0</v>
      </c>
      <c r="V12" s="946">
        <f t="shared" si="1"/>
        <v>920</v>
      </c>
      <c r="W12" s="142"/>
    </row>
    <row r="13">
      <c r="A13" s="56"/>
      <c r="B13" s="182"/>
      <c r="C13" s="907" t="s">
        <v>157</v>
      </c>
      <c r="D13" s="708" t="s">
        <v>33</v>
      </c>
      <c r="E13" s="709"/>
      <c r="F13" s="947">
        <v>4.0</v>
      </c>
      <c r="G13" s="948" t="s">
        <v>73</v>
      </c>
      <c r="H13" s="949"/>
      <c r="I13" s="909"/>
      <c r="J13" s="910"/>
      <c r="K13" s="910"/>
      <c r="L13" s="182"/>
      <c r="M13" s="510"/>
      <c r="P13" s="33"/>
      <c r="Q13" s="34"/>
      <c r="R13" s="944">
        <v>45850.0</v>
      </c>
      <c r="S13" s="945" t="s">
        <v>31</v>
      </c>
      <c r="T13" s="36">
        <v>4.0</v>
      </c>
      <c r="U13" s="946">
        <v>230.0</v>
      </c>
      <c r="V13" s="946">
        <f t="shared" si="1"/>
        <v>920</v>
      </c>
      <c r="W13" s="142"/>
    </row>
    <row r="14">
      <c r="A14" s="19" t="s">
        <v>62</v>
      </c>
      <c r="B14" s="921">
        <v>45695.0</v>
      </c>
      <c r="C14" s="888" t="s">
        <v>27</v>
      </c>
      <c r="D14" s="22" t="s">
        <v>63</v>
      </c>
      <c r="E14" s="924"/>
      <c r="F14" s="922">
        <v>4.0</v>
      </c>
      <c r="G14" s="923" t="s">
        <v>73</v>
      </c>
      <c r="H14" s="924"/>
      <c r="I14" s="727"/>
      <c r="J14" s="925"/>
      <c r="K14" s="925"/>
      <c r="L14" s="950">
        <f>K15+K18</f>
        <v>2214000</v>
      </c>
      <c r="M14" s="510" t="s">
        <v>270</v>
      </c>
      <c r="P14" s="33"/>
      <c r="Q14" s="34"/>
      <c r="R14" s="944">
        <v>45854.0</v>
      </c>
      <c r="S14" s="945" t="s">
        <v>31</v>
      </c>
      <c r="T14" s="36">
        <v>4.0</v>
      </c>
      <c r="U14" s="946">
        <v>230.0</v>
      </c>
      <c r="V14" s="946">
        <f t="shared" si="1"/>
        <v>920</v>
      </c>
      <c r="W14" s="142"/>
    </row>
    <row r="15">
      <c r="A15" s="33"/>
      <c r="B15" s="142"/>
      <c r="C15" s="951" t="s">
        <v>271</v>
      </c>
      <c r="D15" s="952" t="s">
        <v>101</v>
      </c>
      <c r="E15" s="953"/>
      <c r="F15" s="954" t="s">
        <v>272</v>
      </c>
      <c r="G15" s="955" t="s">
        <v>73</v>
      </c>
      <c r="H15" s="953"/>
      <c r="I15" s="956">
        <v>492000.0</v>
      </c>
      <c r="J15" s="957"/>
      <c r="K15" s="956">
        <v>738000.0</v>
      </c>
      <c r="L15" s="142"/>
      <c r="P15" s="33"/>
      <c r="Q15" s="34"/>
      <c r="R15" s="944">
        <v>45856.0</v>
      </c>
      <c r="S15" s="945" t="s">
        <v>48</v>
      </c>
      <c r="T15" s="36">
        <v>4.0</v>
      </c>
      <c r="U15" s="946">
        <v>230.0</v>
      </c>
      <c r="V15" s="946">
        <f t="shared" si="1"/>
        <v>920</v>
      </c>
      <c r="W15" s="142"/>
    </row>
    <row r="16">
      <c r="A16" s="33"/>
      <c r="B16" s="142"/>
      <c r="C16" s="903" t="s">
        <v>273</v>
      </c>
      <c r="D16" s="632" t="s">
        <v>65</v>
      </c>
      <c r="E16" s="754"/>
      <c r="F16" s="958" t="s">
        <v>274</v>
      </c>
      <c r="G16" s="959" t="s">
        <v>73</v>
      </c>
      <c r="H16" s="754"/>
      <c r="I16" s="960" t="s">
        <v>47</v>
      </c>
      <c r="J16" s="961"/>
      <c r="K16" s="962"/>
      <c r="L16" s="142"/>
      <c r="M16" s="510"/>
      <c r="P16" s="33"/>
      <c r="Q16" s="34"/>
      <c r="R16" s="944">
        <v>45858.0</v>
      </c>
      <c r="S16" s="945" t="s">
        <v>216</v>
      </c>
      <c r="T16" s="36">
        <v>3.0</v>
      </c>
      <c r="U16" s="946">
        <v>230.0</v>
      </c>
      <c r="V16" s="946">
        <f t="shared" si="1"/>
        <v>690</v>
      </c>
      <c r="W16" s="142"/>
    </row>
    <row r="17">
      <c r="A17" s="33"/>
      <c r="B17" s="142"/>
      <c r="C17" s="903" t="s">
        <v>31</v>
      </c>
      <c r="D17" s="632" t="s">
        <v>71</v>
      </c>
      <c r="E17" s="753" t="s">
        <v>43</v>
      </c>
      <c r="F17" s="958">
        <v>4.0</v>
      </c>
      <c r="G17" s="942" t="s">
        <v>73</v>
      </c>
      <c r="H17" s="754"/>
      <c r="I17" s="904"/>
      <c r="J17" s="905"/>
      <c r="K17" s="905"/>
      <c r="L17" s="142"/>
      <c r="M17" s="510"/>
      <c r="P17" s="33"/>
      <c r="Q17" s="34"/>
      <c r="R17" s="944">
        <v>45859.0</v>
      </c>
      <c r="S17" s="945" t="s">
        <v>38</v>
      </c>
      <c r="T17" s="36">
        <v>3.0</v>
      </c>
      <c r="U17" s="946">
        <v>230.0</v>
      </c>
      <c r="V17" s="946">
        <f t="shared" si="1"/>
        <v>690</v>
      </c>
      <c r="W17" s="142"/>
    </row>
    <row r="18">
      <c r="A18" s="56"/>
      <c r="B18" s="182"/>
      <c r="C18" s="963" t="s">
        <v>38</v>
      </c>
      <c r="D18" s="964" t="s">
        <v>275</v>
      </c>
      <c r="E18" s="965"/>
      <c r="F18" s="966">
        <v>3.0</v>
      </c>
      <c r="G18" s="967" t="s">
        <v>73</v>
      </c>
      <c r="H18" s="965"/>
      <c r="I18" s="968">
        <v>492000.0</v>
      </c>
      <c r="J18" s="969"/>
      <c r="K18" s="968">
        <f>I18*F18</f>
        <v>1476000</v>
      </c>
      <c r="L18" s="182"/>
      <c r="M18" s="510"/>
      <c r="P18" s="56"/>
      <c r="Q18" s="80"/>
      <c r="R18" s="970">
        <v>45863.0</v>
      </c>
      <c r="S18" s="971" t="s">
        <v>112</v>
      </c>
      <c r="T18" s="82">
        <v>4.0</v>
      </c>
      <c r="U18" s="972">
        <v>230.0</v>
      </c>
      <c r="V18" s="972">
        <f t="shared" si="1"/>
        <v>920</v>
      </c>
      <c r="W18" s="182"/>
    </row>
    <row r="19">
      <c r="A19" s="19" t="s">
        <v>77</v>
      </c>
      <c r="B19" s="921">
        <v>45723.0</v>
      </c>
      <c r="C19" s="888" t="s">
        <v>27</v>
      </c>
      <c r="D19" s="22" t="s">
        <v>28</v>
      </c>
      <c r="E19" s="973"/>
      <c r="F19" s="922">
        <v>4.0</v>
      </c>
      <c r="G19" s="923" t="s">
        <v>73</v>
      </c>
      <c r="H19" s="924"/>
      <c r="I19" s="727"/>
      <c r="J19" s="925"/>
      <c r="K19" s="925"/>
      <c r="L19" s="886">
        <v>520.0</v>
      </c>
      <c r="M19" s="510"/>
      <c r="P19" s="13">
        <v>3.0</v>
      </c>
      <c r="Q19" s="14" t="s">
        <v>92</v>
      </c>
      <c r="R19" s="974">
        <v>45843.0</v>
      </c>
      <c r="S19" s="975" t="s">
        <v>276</v>
      </c>
      <c r="T19" s="976">
        <v>6.0</v>
      </c>
      <c r="U19" s="977">
        <v>150.0</v>
      </c>
      <c r="V19" s="977">
        <f t="shared" si="1"/>
        <v>900</v>
      </c>
      <c r="W19" s="886">
        <f>sum(V19:V30)</f>
        <v>7050</v>
      </c>
    </row>
    <row r="20">
      <c r="A20" s="33"/>
      <c r="B20" s="142"/>
      <c r="C20" s="903" t="s">
        <v>176</v>
      </c>
      <c r="D20" s="635" t="s">
        <v>43</v>
      </c>
      <c r="E20" s="931" t="s">
        <v>277</v>
      </c>
      <c r="F20" s="978">
        <v>4.0</v>
      </c>
      <c r="G20" s="933" t="s">
        <v>73</v>
      </c>
      <c r="H20" s="636"/>
      <c r="I20" s="904"/>
      <c r="J20" s="905"/>
      <c r="K20" s="905"/>
      <c r="L20" s="142"/>
      <c r="M20" s="510"/>
      <c r="P20" s="33"/>
      <c r="Q20" s="34"/>
      <c r="R20" s="944">
        <v>45846.0</v>
      </c>
      <c r="S20" s="945" t="s">
        <v>155</v>
      </c>
      <c r="T20" s="979">
        <v>4.0</v>
      </c>
      <c r="U20" s="946">
        <v>150.0</v>
      </c>
      <c r="V20" s="946">
        <f t="shared" si="1"/>
        <v>600</v>
      </c>
      <c r="W20" s="142"/>
    </row>
    <row r="21">
      <c r="A21" s="33"/>
      <c r="B21" s="142"/>
      <c r="C21" s="903" t="s">
        <v>151</v>
      </c>
      <c r="D21" s="41" t="s">
        <v>33</v>
      </c>
      <c r="E21" s="41" t="s">
        <v>278</v>
      </c>
      <c r="F21" s="980">
        <v>3.0</v>
      </c>
      <c r="G21" s="981" t="s">
        <v>73</v>
      </c>
      <c r="H21" s="982"/>
      <c r="I21" s="904"/>
      <c r="J21" s="905"/>
      <c r="K21" s="905"/>
      <c r="L21" s="142"/>
      <c r="M21" s="510"/>
      <c r="P21" s="33"/>
      <c r="Q21" s="34"/>
      <c r="R21" s="944">
        <v>45848.0</v>
      </c>
      <c r="S21" s="945" t="s">
        <v>216</v>
      </c>
      <c r="T21" s="979">
        <v>3.0</v>
      </c>
      <c r="U21" s="946">
        <v>150.0</v>
      </c>
      <c r="V21" s="946">
        <f t="shared" si="1"/>
        <v>450</v>
      </c>
      <c r="W21" s="142"/>
    </row>
    <row r="22">
      <c r="A22" s="33"/>
      <c r="B22" s="142"/>
      <c r="C22" s="893" t="s">
        <v>157</v>
      </c>
      <c r="D22" s="894" t="s">
        <v>231</v>
      </c>
      <c r="E22" s="983"/>
      <c r="F22" s="984">
        <v>4.0</v>
      </c>
      <c r="G22" s="985" t="s">
        <v>73</v>
      </c>
      <c r="H22" s="983"/>
      <c r="I22" s="986">
        <v>130000.0</v>
      </c>
      <c r="J22" s="987"/>
      <c r="K22" s="988">
        <f>130*4</f>
        <v>520</v>
      </c>
      <c r="L22" s="142"/>
      <c r="M22" s="510"/>
      <c r="P22" s="33"/>
      <c r="Q22" s="34"/>
      <c r="R22" s="944">
        <v>45851.0</v>
      </c>
      <c r="S22" s="945" t="s">
        <v>38</v>
      </c>
      <c r="T22" s="979">
        <v>3.0</v>
      </c>
      <c r="U22" s="946">
        <v>150.0</v>
      </c>
      <c r="V22" s="946">
        <f t="shared" si="1"/>
        <v>450</v>
      </c>
      <c r="W22" s="142"/>
    </row>
    <row r="23">
      <c r="A23" s="56"/>
      <c r="B23" s="182"/>
      <c r="C23" s="56"/>
      <c r="D23" s="80"/>
      <c r="E23" s="80"/>
      <c r="F23" s="80"/>
      <c r="G23" s="80"/>
      <c r="H23" s="80"/>
      <c r="I23" s="80"/>
      <c r="J23" s="80"/>
      <c r="K23" s="80"/>
      <c r="L23" s="182"/>
      <c r="M23" s="510" t="s">
        <v>279</v>
      </c>
      <c r="P23" s="33"/>
      <c r="Q23" s="34"/>
      <c r="R23" s="944">
        <v>45852.0</v>
      </c>
      <c r="S23" s="945" t="s">
        <v>106</v>
      </c>
      <c r="T23" s="979">
        <v>4.0</v>
      </c>
      <c r="U23" s="946">
        <v>150.0</v>
      </c>
      <c r="V23" s="946">
        <f t="shared" si="1"/>
        <v>600</v>
      </c>
      <c r="W23" s="142"/>
    </row>
    <row r="24">
      <c r="A24" s="514" t="s">
        <v>26</v>
      </c>
      <c r="B24" s="921">
        <v>45754.0</v>
      </c>
      <c r="C24" s="888" t="s">
        <v>27</v>
      </c>
      <c r="D24" s="661" t="s">
        <v>33</v>
      </c>
      <c r="E24" s="777" t="s">
        <v>280</v>
      </c>
      <c r="F24" s="989">
        <v>4.0</v>
      </c>
      <c r="G24" s="990" t="s">
        <v>73</v>
      </c>
      <c r="H24" s="778"/>
      <c r="I24" s="727"/>
      <c r="J24" s="991">
        <v>300000.0</v>
      </c>
      <c r="K24" s="991">
        <f>J24*F24</f>
        <v>1200000</v>
      </c>
      <c r="L24" s="926">
        <f>sum(K24:K27)</f>
        <v>2990000</v>
      </c>
      <c r="M24" s="510"/>
      <c r="P24" s="33"/>
      <c r="Q24" s="34"/>
      <c r="R24" s="944">
        <v>45857.0</v>
      </c>
      <c r="S24" s="945" t="s">
        <v>40</v>
      </c>
      <c r="T24" s="979">
        <v>4.0</v>
      </c>
      <c r="U24" s="946">
        <v>150.0</v>
      </c>
      <c r="V24" s="946">
        <f t="shared" si="1"/>
        <v>600</v>
      </c>
      <c r="W24" s="142"/>
    </row>
    <row r="25">
      <c r="A25" s="33"/>
      <c r="B25" s="142"/>
      <c r="C25" s="903" t="s">
        <v>216</v>
      </c>
      <c r="D25" s="992" t="s">
        <v>49</v>
      </c>
      <c r="E25" s="993" t="s">
        <v>63</v>
      </c>
      <c r="F25" s="994">
        <v>3.0</v>
      </c>
      <c r="G25" s="995" t="s">
        <v>73</v>
      </c>
      <c r="H25" s="996"/>
      <c r="I25" s="943">
        <v>230000.0</v>
      </c>
      <c r="J25" s="905"/>
      <c r="K25" s="943">
        <f t="shared" ref="K25:K28" si="2">I25*F25</f>
        <v>690000</v>
      </c>
      <c r="L25" s="142"/>
      <c r="M25" s="510"/>
      <c r="P25" s="33"/>
      <c r="Q25" s="34"/>
      <c r="R25" s="944">
        <v>45859.0</v>
      </c>
      <c r="S25" s="945" t="s">
        <v>281</v>
      </c>
      <c r="T25" s="979">
        <v>4.0</v>
      </c>
      <c r="U25" s="946">
        <v>150.0</v>
      </c>
      <c r="V25" s="946">
        <f t="shared" si="1"/>
        <v>600</v>
      </c>
      <c r="W25" s="142"/>
    </row>
    <row r="26">
      <c r="A26" s="33"/>
      <c r="B26" s="142"/>
      <c r="C26" s="903" t="s">
        <v>262</v>
      </c>
      <c r="D26" s="853" t="s">
        <v>231</v>
      </c>
      <c r="E26" s="854"/>
      <c r="F26" s="997">
        <v>5.0</v>
      </c>
      <c r="G26" s="998" t="s">
        <v>73</v>
      </c>
      <c r="H26" s="854"/>
      <c r="I26" s="943">
        <v>130000.0</v>
      </c>
      <c r="J26" s="905"/>
      <c r="K26" s="943">
        <f t="shared" si="2"/>
        <v>650000</v>
      </c>
      <c r="L26" s="142"/>
      <c r="M26" s="510" t="s">
        <v>282</v>
      </c>
      <c r="P26" s="33"/>
      <c r="Q26" s="34"/>
      <c r="R26" s="944">
        <v>45860.0</v>
      </c>
      <c r="S26" s="945" t="s">
        <v>281</v>
      </c>
      <c r="T26" s="979">
        <v>4.0</v>
      </c>
      <c r="U26" s="946">
        <v>150.0</v>
      </c>
      <c r="V26" s="946">
        <f t="shared" si="1"/>
        <v>600</v>
      </c>
      <c r="W26" s="142"/>
    </row>
    <row r="27">
      <c r="A27" s="33"/>
      <c r="B27" s="142"/>
      <c r="C27" s="907" t="s">
        <v>38</v>
      </c>
      <c r="D27" s="864" t="s">
        <v>36</v>
      </c>
      <c r="E27" s="865"/>
      <c r="F27" s="999">
        <v>3.0</v>
      </c>
      <c r="G27" s="1000" t="s">
        <v>73</v>
      </c>
      <c r="H27" s="865"/>
      <c r="I27" s="1001">
        <v>150000.0</v>
      </c>
      <c r="J27" s="910"/>
      <c r="K27" s="1001">
        <f t="shared" si="2"/>
        <v>450000</v>
      </c>
      <c r="L27" s="182"/>
      <c r="M27" s="510" t="s">
        <v>283</v>
      </c>
      <c r="P27" s="33"/>
      <c r="Q27" s="34"/>
      <c r="R27" s="944">
        <v>45865.0</v>
      </c>
      <c r="S27" s="945" t="s">
        <v>27</v>
      </c>
      <c r="T27" s="979">
        <v>4.0</v>
      </c>
      <c r="U27" s="946">
        <v>150.0</v>
      </c>
      <c r="V27" s="946">
        <f t="shared" si="1"/>
        <v>600</v>
      </c>
      <c r="W27" s="142"/>
    </row>
    <row r="28">
      <c r="A28" s="33"/>
      <c r="B28" s="142"/>
      <c r="C28" s="1002" t="s">
        <v>284</v>
      </c>
      <c r="D28" s="1003" t="s">
        <v>275</v>
      </c>
      <c r="E28" s="1003" t="s">
        <v>285</v>
      </c>
      <c r="F28" s="1004">
        <v>3.0</v>
      </c>
      <c r="G28" s="1005" t="s">
        <v>30</v>
      </c>
      <c r="H28" s="1006" t="s">
        <v>286</v>
      </c>
      <c r="I28" s="1007">
        <v>492000.0</v>
      </c>
      <c r="J28" s="1008"/>
      <c r="K28" s="1007">
        <f t="shared" si="2"/>
        <v>1476000</v>
      </c>
      <c r="L28" s="926">
        <f>sum(K28:K29)</f>
        <v>3342000</v>
      </c>
      <c r="M28" s="510"/>
      <c r="P28" s="33"/>
      <c r="Q28" s="34"/>
      <c r="R28" s="944">
        <v>45867.0</v>
      </c>
      <c r="S28" s="945" t="s">
        <v>54</v>
      </c>
      <c r="T28" s="979">
        <v>3.0</v>
      </c>
      <c r="U28" s="946">
        <v>150.0</v>
      </c>
      <c r="V28" s="946">
        <f t="shared" si="1"/>
        <v>450</v>
      </c>
      <c r="W28" s="142"/>
    </row>
    <row r="29">
      <c r="A29" s="56"/>
      <c r="B29" s="182"/>
      <c r="C29" s="963" t="s">
        <v>51</v>
      </c>
      <c r="D29" s="964" t="s">
        <v>275</v>
      </c>
      <c r="E29" s="1009" t="s">
        <v>251</v>
      </c>
      <c r="F29" s="966">
        <v>3.0</v>
      </c>
      <c r="G29" s="1010" t="s">
        <v>30</v>
      </c>
      <c r="H29" s="80"/>
      <c r="I29" s="968">
        <v>492000.0</v>
      </c>
      <c r="J29" s="968">
        <v>130000.0</v>
      </c>
      <c r="K29" s="968">
        <f>(I29*F29)+(J29*F29)</f>
        <v>1866000</v>
      </c>
      <c r="L29" s="182"/>
      <c r="M29" s="510"/>
      <c r="P29" s="33"/>
      <c r="Q29" s="34"/>
      <c r="R29" s="944">
        <v>45868.0</v>
      </c>
      <c r="S29" s="945" t="s">
        <v>48</v>
      </c>
      <c r="T29" s="979">
        <v>4.0</v>
      </c>
      <c r="U29" s="946">
        <v>150.0</v>
      </c>
      <c r="V29" s="946">
        <f t="shared" si="1"/>
        <v>600</v>
      </c>
      <c r="W29" s="142"/>
    </row>
    <row r="30">
      <c r="A30" s="514" t="s">
        <v>41</v>
      </c>
      <c r="B30" s="921">
        <v>45784.0</v>
      </c>
      <c r="C30" s="888" t="s">
        <v>287</v>
      </c>
      <c r="D30" s="1011" t="s">
        <v>92</v>
      </c>
      <c r="E30" s="1012"/>
      <c r="F30" s="1013">
        <v>6.0</v>
      </c>
      <c r="G30" s="1014" t="s">
        <v>73</v>
      </c>
      <c r="H30" s="1012"/>
      <c r="I30" s="991">
        <v>150000.0</v>
      </c>
      <c r="J30" s="925"/>
      <c r="K30" s="991">
        <f>I30*F30</f>
        <v>900000</v>
      </c>
      <c r="L30" s="926">
        <f>sum(K30:K33)</f>
        <v>1290000</v>
      </c>
      <c r="M30" s="510"/>
      <c r="P30" s="56"/>
      <c r="Q30" s="80"/>
      <c r="R30" s="970">
        <v>45869.0</v>
      </c>
      <c r="S30" s="971" t="s">
        <v>40</v>
      </c>
      <c r="T30" s="1015">
        <v>4.0</v>
      </c>
      <c r="U30" s="972">
        <v>150.0</v>
      </c>
      <c r="V30" s="972">
        <f t="shared" si="1"/>
        <v>600</v>
      </c>
      <c r="W30" s="182"/>
    </row>
    <row r="31">
      <c r="A31" s="33"/>
      <c r="B31" s="142"/>
      <c r="C31" s="903" t="s">
        <v>288</v>
      </c>
      <c r="D31" s="1016" t="s">
        <v>289</v>
      </c>
      <c r="E31" s="1017"/>
      <c r="F31" s="1018">
        <v>1.0</v>
      </c>
      <c r="G31" s="1019" t="s">
        <v>73</v>
      </c>
      <c r="H31" s="1017"/>
      <c r="I31" s="904"/>
      <c r="J31" s="905"/>
      <c r="K31" s="905"/>
      <c r="L31" s="142"/>
      <c r="M31" s="510"/>
      <c r="P31" s="13">
        <v>4.0</v>
      </c>
      <c r="Q31" s="14" t="s">
        <v>290</v>
      </c>
      <c r="R31" s="974">
        <v>45842.0</v>
      </c>
      <c r="S31" s="975" t="s">
        <v>51</v>
      </c>
      <c r="T31" s="976">
        <v>3.0</v>
      </c>
      <c r="U31" s="977">
        <v>150.0</v>
      </c>
      <c r="V31" s="977">
        <f t="shared" si="1"/>
        <v>450</v>
      </c>
      <c r="W31" s="886">
        <f>sum(V31:V37)</f>
        <v>3450</v>
      </c>
    </row>
    <row r="32">
      <c r="A32" s="33"/>
      <c r="B32" s="142"/>
      <c r="C32" s="903" t="s">
        <v>291</v>
      </c>
      <c r="D32" s="41" t="s">
        <v>33</v>
      </c>
      <c r="E32" s="1020" t="s">
        <v>292</v>
      </c>
      <c r="F32" s="980">
        <v>4.0</v>
      </c>
      <c r="G32" s="981" t="s">
        <v>73</v>
      </c>
      <c r="H32" s="1021" t="s">
        <v>293</v>
      </c>
      <c r="I32" s="904"/>
      <c r="J32" s="943">
        <v>130000.0</v>
      </c>
      <c r="K32" s="943">
        <f>J32*3</f>
        <v>390000</v>
      </c>
      <c r="L32" s="142"/>
      <c r="M32" s="510"/>
      <c r="P32" s="33"/>
      <c r="Q32" s="34"/>
      <c r="R32" s="944">
        <v>45849.0</v>
      </c>
      <c r="S32" s="945" t="s">
        <v>294</v>
      </c>
      <c r="T32" s="979">
        <v>4.0</v>
      </c>
      <c r="U32" s="946">
        <v>150.0</v>
      </c>
      <c r="V32" s="946">
        <f t="shared" si="1"/>
        <v>600</v>
      </c>
      <c r="W32" s="142"/>
    </row>
    <row r="33">
      <c r="A33" s="56"/>
      <c r="B33" s="182"/>
      <c r="C33" s="907" t="s">
        <v>157</v>
      </c>
      <c r="D33" s="669" t="s">
        <v>43</v>
      </c>
      <c r="E33" s="1022"/>
      <c r="F33" s="1023">
        <v>4.0</v>
      </c>
      <c r="G33" s="1024" t="s">
        <v>73</v>
      </c>
      <c r="H33" s="80"/>
      <c r="I33" s="909"/>
      <c r="J33" s="910"/>
      <c r="K33" s="910"/>
      <c r="L33" s="182"/>
      <c r="M33" s="510"/>
      <c r="P33" s="33"/>
      <c r="Q33" s="34"/>
      <c r="R33" s="944">
        <v>45850.0</v>
      </c>
      <c r="S33" s="945" t="s">
        <v>295</v>
      </c>
      <c r="T33" s="979">
        <v>3.0</v>
      </c>
      <c r="U33" s="946">
        <v>150.0</v>
      </c>
      <c r="V33" s="946">
        <f t="shared" si="1"/>
        <v>450</v>
      </c>
      <c r="W33" s="142"/>
    </row>
    <row r="34">
      <c r="A34" s="1025" t="s">
        <v>45</v>
      </c>
      <c r="B34" s="1026">
        <v>45815.0</v>
      </c>
      <c r="C34" s="1027" t="s">
        <v>296</v>
      </c>
      <c r="D34" s="815" t="s">
        <v>231</v>
      </c>
      <c r="E34" s="518"/>
      <c r="F34" s="1028">
        <v>4.0</v>
      </c>
      <c r="G34" s="1029" t="s">
        <v>73</v>
      </c>
      <c r="H34" s="1030" t="s">
        <v>297</v>
      </c>
      <c r="I34" s="991">
        <v>130000.0</v>
      </c>
      <c r="J34" s="925"/>
      <c r="K34" s="991">
        <f>I34*F34</f>
        <v>520000</v>
      </c>
      <c r="L34" s="926">
        <f>K34</f>
        <v>520000</v>
      </c>
      <c r="M34" s="510"/>
      <c r="P34" s="33"/>
      <c r="Q34" s="34"/>
      <c r="R34" s="944">
        <v>45851.0</v>
      </c>
      <c r="S34" s="945" t="s">
        <v>173</v>
      </c>
      <c r="T34" s="979">
        <v>2.0</v>
      </c>
      <c r="U34" s="946">
        <v>150.0</v>
      </c>
      <c r="V34" s="946">
        <f t="shared" si="1"/>
        <v>300</v>
      </c>
      <c r="W34" s="142"/>
    </row>
    <row r="35">
      <c r="A35" s="33"/>
      <c r="B35" s="39"/>
      <c r="C35" s="1031" t="s">
        <v>298</v>
      </c>
      <c r="D35" s="635" t="s">
        <v>43</v>
      </c>
      <c r="E35" s="75"/>
      <c r="F35" s="978">
        <v>4.0</v>
      </c>
      <c r="G35" s="933" t="s">
        <v>73</v>
      </c>
      <c r="H35" s="34"/>
      <c r="I35" s="904"/>
      <c r="J35" s="905"/>
      <c r="K35" s="905"/>
      <c r="L35" s="142"/>
      <c r="M35" s="510"/>
      <c r="P35" s="33"/>
      <c r="Q35" s="34"/>
      <c r="R35" s="944">
        <v>45856.0</v>
      </c>
      <c r="S35" s="945" t="s">
        <v>51</v>
      </c>
      <c r="T35" s="979">
        <v>3.0</v>
      </c>
      <c r="U35" s="946">
        <v>150.0</v>
      </c>
      <c r="V35" s="946">
        <f t="shared" si="1"/>
        <v>450</v>
      </c>
      <c r="W35" s="142"/>
    </row>
    <row r="36">
      <c r="A36" s="56"/>
      <c r="B36" s="57"/>
      <c r="C36" s="1032" t="s">
        <v>299</v>
      </c>
      <c r="D36" s="708" t="s">
        <v>33</v>
      </c>
      <c r="E36" s="709"/>
      <c r="F36" s="947">
        <v>6.0</v>
      </c>
      <c r="G36" s="948" t="s">
        <v>73</v>
      </c>
      <c r="H36" s="80"/>
      <c r="I36" s="909"/>
      <c r="J36" s="910"/>
      <c r="K36" s="910"/>
      <c r="L36" s="182"/>
      <c r="M36" s="510"/>
      <c r="P36" s="33"/>
      <c r="Q36" s="34"/>
      <c r="R36" s="944">
        <v>45857.0</v>
      </c>
      <c r="S36" s="945" t="s">
        <v>294</v>
      </c>
      <c r="T36" s="979">
        <v>4.0</v>
      </c>
      <c r="U36" s="946">
        <v>150.0</v>
      </c>
      <c r="V36" s="946">
        <f t="shared" si="1"/>
        <v>600</v>
      </c>
      <c r="W36" s="142"/>
    </row>
    <row r="37">
      <c r="I37" s="510"/>
      <c r="J37" s="510"/>
      <c r="K37" s="510"/>
      <c r="L37" s="510"/>
      <c r="M37" s="510"/>
      <c r="P37" s="56"/>
      <c r="Q37" s="80"/>
      <c r="R37" s="970">
        <v>45865.0</v>
      </c>
      <c r="S37" s="971" t="s">
        <v>40</v>
      </c>
      <c r="T37" s="1015">
        <v>4.0</v>
      </c>
      <c r="U37" s="972">
        <v>150.0</v>
      </c>
      <c r="V37" s="972">
        <f t="shared" si="1"/>
        <v>600</v>
      </c>
      <c r="W37" s="182"/>
    </row>
    <row r="38">
      <c r="A38" s="1033" t="s">
        <v>53</v>
      </c>
      <c r="I38" s="510"/>
      <c r="J38" s="510"/>
      <c r="K38" s="510"/>
      <c r="L38" s="510"/>
      <c r="M38" s="510"/>
      <c r="P38" s="13">
        <v>5.0</v>
      </c>
      <c r="Q38" s="1034" t="s">
        <v>24</v>
      </c>
      <c r="R38" s="883">
        <v>45845.0</v>
      </c>
      <c r="S38" s="975" t="s">
        <v>70</v>
      </c>
      <c r="T38" s="976">
        <v>4.0</v>
      </c>
      <c r="U38" s="1035"/>
      <c r="V38" s="1035"/>
      <c r="W38" s="1036"/>
    </row>
    <row r="39">
      <c r="I39" s="510"/>
      <c r="J39" s="510"/>
      <c r="K39" s="510"/>
      <c r="L39" s="510"/>
      <c r="M39" s="510"/>
      <c r="P39" s="33"/>
      <c r="Q39" s="34"/>
      <c r="R39" s="902">
        <v>45846.0</v>
      </c>
      <c r="S39" s="945" t="s">
        <v>31</v>
      </c>
      <c r="T39" s="979">
        <v>4.0</v>
      </c>
      <c r="U39" s="1037"/>
      <c r="V39" s="1037"/>
      <c r="W39" s="1038"/>
    </row>
    <row r="40">
      <c r="A40" s="721" t="s">
        <v>10</v>
      </c>
      <c r="B40" s="722" t="s">
        <v>11</v>
      </c>
      <c r="C40" s="722" t="s">
        <v>12</v>
      </c>
      <c r="D40" s="722" t="s">
        <v>13</v>
      </c>
      <c r="E40" s="722" t="s">
        <v>14</v>
      </c>
      <c r="F40" s="723" t="s">
        <v>15</v>
      </c>
      <c r="G40" s="722" t="s">
        <v>16</v>
      </c>
      <c r="H40" s="1039" t="s">
        <v>17</v>
      </c>
      <c r="I40" s="723" t="s">
        <v>261</v>
      </c>
      <c r="J40" s="723" t="s">
        <v>21</v>
      </c>
      <c r="K40" s="1040" t="s">
        <v>22</v>
      </c>
      <c r="L40" s="1041" t="s">
        <v>23</v>
      </c>
      <c r="M40" s="510"/>
      <c r="P40" s="33"/>
      <c r="Q40" s="34"/>
      <c r="R40" s="902">
        <v>45849.0</v>
      </c>
      <c r="S40" s="945" t="s">
        <v>165</v>
      </c>
      <c r="T40" s="979">
        <v>3.0</v>
      </c>
      <c r="U40" s="1037"/>
      <c r="V40" s="1037"/>
      <c r="W40" s="1038"/>
    </row>
    <row r="41">
      <c r="A41" s="19" t="s">
        <v>55</v>
      </c>
      <c r="B41" s="1042">
        <v>45845.0</v>
      </c>
      <c r="C41" s="21" t="s">
        <v>27</v>
      </c>
      <c r="D41" s="22" t="s">
        <v>28</v>
      </c>
      <c r="E41" s="22" t="s">
        <v>249</v>
      </c>
      <c r="F41" s="266">
        <v>4.0</v>
      </c>
      <c r="G41" s="24" t="s">
        <v>73</v>
      </c>
      <c r="H41" s="924"/>
      <c r="I41" s="1043"/>
      <c r="J41" s="1044" t="s">
        <v>66</v>
      </c>
      <c r="K41" s="727"/>
      <c r="L41" s="1045">
        <f>K42+K44</f>
        <v>2488000</v>
      </c>
      <c r="M41" s="510" t="s">
        <v>300</v>
      </c>
      <c r="P41" s="33"/>
      <c r="Q41" s="34"/>
      <c r="R41" s="902">
        <v>45850.0</v>
      </c>
      <c r="S41" s="945" t="s">
        <v>70</v>
      </c>
      <c r="T41" s="979">
        <v>4.0</v>
      </c>
      <c r="U41" s="1037"/>
      <c r="V41" s="1037"/>
      <c r="W41" s="1038"/>
    </row>
    <row r="42">
      <c r="A42" s="33"/>
      <c r="B42" s="39"/>
      <c r="C42" s="1046" t="s">
        <v>40</v>
      </c>
      <c r="D42" s="696" t="s">
        <v>231</v>
      </c>
      <c r="E42" s="101"/>
      <c r="F42" s="780">
        <v>4.0</v>
      </c>
      <c r="G42" s="102" t="s">
        <v>73</v>
      </c>
      <c r="H42" s="773"/>
      <c r="I42" s="1047">
        <v>130000.0</v>
      </c>
      <c r="J42" s="905"/>
      <c r="K42" s="943">
        <f>I42*F42</f>
        <v>520000</v>
      </c>
      <c r="L42" s="142"/>
      <c r="M42" s="510"/>
      <c r="P42" s="33"/>
      <c r="Q42" s="34"/>
      <c r="R42" s="902">
        <v>45855.0</v>
      </c>
      <c r="S42" s="945" t="s">
        <v>70</v>
      </c>
      <c r="T42" s="979">
        <v>4.0</v>
      </c>
      <c r="U42" s="1037"/>
      <c r="V42" s="1037"/>
      <c r="W42" s="1038"/>
    </row>
    <row r="43">
      <c r="A43" s="33"/>
      <c r="B43" s="39"/>
      <c r="C43" s="40" t="s">
        <v>151</v>
      </c>
      <c r="D43" s="41" t="s">
        <v>71</v>
      </c>
      <c r="E43" s="42"/>
      <c r="F43" s="1048">
        <v>3.0</v>
      </c>
      <c r="G43" s="79" t="s">
        <v>73</v>
      </c>
      <c r="H43" s="982"/>
      <c r="I43" s="1049"/>
      <c r="J43" s="905"/>
      <c r="K43" s="905"/>
      <c r="L43" s="142"/>
      <c r="M43" s="510"/>
      <c r="P43" s="33"/>
      <c r="Q43" s="34"/>
      <c r="R43" s="902">
        <v>45856.0</v>
      </c>
      <c r="S43" s="945" t="s">
        <v>70</v>
      </c>
      <c r="T43" s="979">
        <v>4.0</v>
      </c>
      <c r="U43" s="1037"/>
      <c r="V43" s="1037"/>
      <c r="W43" s="1038"/>
    </row>
    <row r="44">
      <c r="A44" s="56"/>
      <c r="B44" s="57"/>
      <c r="C44" s="1050" t="s">
        <v>157</v>
      </c>
      <c r="D44" s="1051" t="s">
        <v>101</v>
      </c>
      <c r="E44" s="1052"/>
      <c r="F44" s="1053">
        <v>4.0</v>
      </c>
      <c r="G44" s="1054" t="s">
        <v>73</v>
      </c>
      <c r="H44" s="1055"/>
      <c r="I44" s="1056">
        <v>492000.0</v>
      </c>
      <c r="J44" s="1057"/>
      <c r="K44" s="1058">
        <f>I44*F44</f>
        <v>1968000</v>
      </c>
      <c r="L44" s="182"/>
      <c r="M44" s="510"/>
      <c r="P44" s="33"/>
      <c r="Q44" s="34"/>
      <c r="R44" s="902">
        <v>45860.0</v>
      </c>
      <c r="S44" s="945" t="s">
        <v>31</v>
      </c>
      <c r="T44" s="979">
        <v>4.0</v>
      </c>
      <c r="U44" s="1037"/>
      <c r="V44" s="1037"/>
      <c r="W44" s="1038"/>
    </row>
    <row r="45">
      <c r="A45" s="702" t="s">
        <v>58</v>
      </c>
      <c r="B45" s="887" t="s">
        <v>301</v>
      </c>
      <c r="C45" s="21" t="s">
        <v>27</v>
      </c>
      <c r="D45" s="22" t="s">
        <v>28</v>
      </c>
      <c r="E45" s="973"/>
      <c r="F45" s="266">
        <v>4.0</v>
      </c>
      <c r="G45" s="24" t="s">
        <v>73</v>
      </c>
      <c r="H45" s="924"/>
      <c r="I45" s="1043"/>
      <c r="J45" s="925"/>
      <c r="K45" s="925"/>
      <c r="L45" s="1045">
        <f>SUM(K45:K48)</f>
        <v>2596000</v>
      </c>
      <c r="M45" s="510"/>
      <c r="P45" s="33"/>
      <c r="Q45" s="34"/>
      <c r="R45" s="902">
        <v>45863.0</v>
      </c>
      <c r="S45" s="945" t="s">
        <v>302</v>
      </c>
      <c r="T45" s="979">
        <v>4.5</v>
      </c>
      <c r="U45" s="1037"/>
      <c r="V45" s="1037"/>
      <c r="W45" s="1038"/>
    </row>
    <row r="46">
      <c r="A46" s="255"/>
      <c r="B46" s="39"/>
      <c r="C46" s="903" t="s">
        <v>216</v>
      </c>
      <c r="D46" s="632" t="s">
        <v>120</v>
      </c>
      <c r="E46" s="572"/>
      <c r="F46" s="631">
        <v>3.0</v>
      </c>
      <c r="G46" s="631" t="s">
        <v>73</v>
      </c>
      <c r="H46" s="754"/>
      <c r="I46" s="1059">
        <v>492000.0</v>
      </c>
      <c r="J46" s="283"/>
      <c r="K46" s="1060">
        <f t="shared" ref="K46:K48" si="3">I46*F46</f>
        <v>1476000</v>
      </c>
      <c r="L46" s="142"/>
      <c r="M46" s="1061" t="s">
        <v>303</v>
      </c>
      <c r="P46" s="33"/>
      <c r="Q46" s="34"/>
      <c r="R46" s="902">
        <v>45865.0</v>
      </c>
      <c r="S46" s="945" t="s">
        <v>44</v>
      </c>
      <c r="T46" s="979">
        <v>4.0</v>
      </c>
      <c r="U46" s="1037"/>
      <c r="V46" s="1037"/>
      <c r="W46" s="1038"/>
    </row>
    <row r="47">
      <c r="A47" s="255"/>
      <c r="B47" s="39"/>
      <c r="C47" s="1062" t="s">
        <v>291</v>
      </c>
      <c r="D47" s="739" t="s">
        <v>39</v>
      </c>
      <c r="E47" s="1063"/>
      <c r="F47" s="741">
        <v>4.0</v>
      </c>
      <c r="G47" s="1064" t="s">
        <v>73</v>
      </c>
      <c r="H47" s="740"/>
      <c r="I47" s="1047">
        <v>150000.0</v>
      </c>
      <c r="J47" s="905"/>
      <c r="K47" s="943">
        <f t="shared" si="3"/>
        <v>600000</v>
      </c>
      <c r="L47" s="142"/>
      <c r="M47" s="510" t="s">
        <v>304</v>
      </c>
      <c r="P47" s="33"/>
      <c r="Q47" s="34"/>
      <c r="R47" s="902">
        <v>45861.0</v>
      </c>
      <c r="S47" s="945" t="s">
        <v>70</v>
      </c>
      <c r="T47" s="979">
        <v>4.0</v>
      </c>
      <c r="U47" s="1037"/>
      <c r="V47" s="1037"/>
      <c r="W47" s="1038"/>
    </row>
    <row r="48">
      <c r="A48" s="256"/>
      <c r="B48" s="57"/>
      <c r="C48" s="1065" t="s">
        <v>157</v>
      </c>
      <c r="D48" s="1066" t="s">
        <v>251</v>
      </c>
      <c r="E48" s="1066" t="s">
        <v>305</v>
      </c>
      <c r="F48" s="1067">
        <v>4.0</v>
      </c>
      <c r="G48" s="1068" t="s">
        <v>73</v>
      </c>
      <c r="H48" s="1069"/>
      <c r="I48" s="1070">
        <v>130000.0</v>
      </c>
      <c r="J48" s="1071" t="s">
        <v>66</v>
      </c>
      <c r="K48" s="1001">
        <f t="shared" si="3"/>
        <v>520000</v>
      </c>
      <c r="L48" s="182"/>
      <c r="M48" s="510"/>
      <c r="P48" s="33"/>
      <c r="Q48" s="34"/>
      <c r="R48" s="902">
        <v>45866.0</v>
      </c>
      <c r="S48" s="945" t="s">
        <v>306</v>
      </c>
      <c r="T48" s="979">
        <v>3.5</v>
      </c>
      <c r="U48" s="1037"/>
      <c r="V48" s="1037"/>
      <c r="W48" s="1038"/>
    </row>
    <row r="49">
      <c r="A49" s="19" t="s">
        <v>62</v>
      </c>
      <c r="B49" s="20">
        <v>45907.0</v>
      </c>
      <c r="C49" s="1072" t="s">
        <v>70</v>
      </c>
      <c r="D49" s="22" t="s">
        <v>28</v>
      </c>
      <c r="E49" s="22" t="s">
        <v>307</v>
      </c>
      <c r="F49" s="266">
        <v>4.0</v>
      </c>
      <c r="G49" s="24" t="s">
        <v>73</v>
      </c>
      <c r="H49" s="1073" t="s">
        <v>74</v>
      </c>
      <c r="I49" s="1043"/>
      <c r="J49" s="925"/>
      <c r="K49" s="925"/>
      <c r="L49" s="1045">
        <f>K52+K53</f>
        <v>1884000</v>
      </c>
      <c r="M49" s="510"/>
      <c r="P49" s="56"/>
      <c r="Q49" s="80"/>
      <c r="R49" s="927">
        <v>45868.0</v>
      </c>
      <c r="S49" s="971" t="s">
        <v>44</v>
      </c>
      <c r="T49" s="1015">
        <v>4.0</v>
      </c>
      <c r="U49" s="1074"/>
      <c r="V49" s="1074"/>
      <c r="W49" s="1075"/>
    </row>
    <row r="50">
      <c r="A50" s="33"/>
      <c r="B50" s="39"/>
      <c r="C50" s="1076" t="s">
        <v>75</v>
      </c>
      <c r="D50" s="820" t="s">
        <v>33</v>
      </c>
      <c r="E50" s="1077"/>
      <c r="F50" s="1078">
        <v>2.0</v>
      </c>
      <c r="G50" s="822" t="s">
        <v>73</v>
      </c>
      <c r="H50" s="356"/>
      <c r="I50" s="1049"/>
      <c r="J50" s="905"/>
      <c r="K50" s="905"/>
      <c r="L50" s="142"/>
      <c r="M50" s="510"/>
      <c r="P50" s="13">
        <v>6.0</v>
      </c>
      <c r="Q50" s="14" t="s">
        <v>29</v>
      </c>
      <c r="R50" s="974">
        <v>45863.0</v>
      </c>
      <c r="S50" s="975" t="s">
        <v>54</v>
      </c>
      <c r="T50" s="976">
        <v>3.0</v>
      </c>
      <c r="U50" s="977">
        <v>30.0</v>
      </c>
      <c r="V50" s="383">
        <f t="shared" ref="V50:V54" si="4">T50*U50</f>
        <v>90</v>
      </c>
      <c r="W50" s="1079">
        <f>sum(V50:V54)</f>
        <v>435</v>
      </c>
    </row>
    <row r="51">
      <c r="A51" s="33"/>
      <c r="B51" s="39"/>
      <c r="C51" s="1080" t="s">
        <v>308</v>
      </c>
      <c r="D51" s="820" t="s">
        <v>33</v>
      </c>
      <c r="E51" s="1077"/>
      <c r="F51" s="1078">
        <v>2.0</v>
      </c>
      <c r="G51" s="822" t="s">
        <v>73</v>
      </c>
      <c r="H51" s="821"/>
      <c r="I51" s="1049"/>
      <c r="J51" s="905"/>
      <c r="K51" s="905"/>
      <c r="L51" s="142"/>
      <c r="M51" s="510" t="s">
        <v>304</v>
      </c>
      <c r="P51" s="33"/>
      <c r="Q51" s="34"/>
      <c r="R51" s="944">
        <v>45864.0</v>
      </c>
      <c r="S51" s="945" t="s">
        <v>185</v>
      </c>
      <c r="T51" s="979">
        <v>2.0</v>
      </c>
      <c r="U51" s="946">
        <v>30.0</v>
      </c>
      <c r="V51" s="403">
        <f t="shared" si="4"/>
        <v>60</v>
      </c>
      <c r="W51" s="142"/>
    </row>
    <row r="52">
      <c r="A52" s="33"/>
      <c r="B52" s="39"/>
      <c r="C52" s="1081" t="s">
        <v>87</v>
      </c>
      <c r="D52" s="1082" t="s">
        <v>309</v>
      </c>
      <c r="E52" s="633"/>
      <c r="F52" s="1083">
        <v>3.0</v>
      </c>
      <c r="G52" s="631" t="s">
        <v>73</v>
      </c>
      <c r="H52" s="1084"/>
      <c r="I52" s="1047">
        <v>300000.0</v>
      </c>
      <c r="J52" s="905"/>
      <c r="K52" s="943">
        <f t="shared" ref="K52:K53" si="5">I52*F52</f>
        <v>900000</v>
      </c>
      <c r="L52" s="142"/>
      <c r="M52" s="510"/>
      <c r="P52" s="33"/>
      <c r="Q52" s="34"/>
      <c r="R52" s="944">
        <v>45865.0</v>
      </c>
      <c r="S52" s="945" t="s">
        <v>310</v>
      </c>
      <c r="T52" s="979">
        <v>3.0</v>
      </c>
      <c r="U52" s="946">
        <v>30.0</v>
      </c>
      <c r="V52" s="403">
        <f t="shared" si="4"/>
        <v>90</v>
      </c>
      <c r="W52" s="142"/>
    </row>
    <row r="53">
      <c r="A53" s="56"/>
      <c r="B53" s="57"/>
      <c r="C53" s="1050" t="s">
        <v>88</v>
      </c>
      <c r="D53" s="1051" t="s">
        <v>101</v>
      </c>
      <c r="E53" s="1052"/>
      <c r="F53" s="1053">
        <v>2.0</v>
      </c>
      <c r="G53" s="1054" t="s">
        <v>73</v>
      </c>
      <c r="H53" s="1055"/>
      <c r="I53" s="1056">
        <v>492000.0</v>
      </c>
      <c r="J53" s="1057"/>
      <c r="K53" s="1058">
        <f t="shared" si="5"/>
        <v>984000</v>
      </c>
      <c r="L53" s="182"/>
      <c r="M53" s="510"/>
      <c r="P53" s="33"/>
      <c r="Q53" s="34"/>
      <c r="R53" s="944">
        <v>45867.0</v>
      </c>
      <c r="S53" s="945" t="s">
        <v>311</v>
      </c>
      <c r="T53" s="979">
        <v>3.0</v>
      </c>
      <c r="U53" s="946">
        <v>30.0</v>
      </c>
      <c r="V53" s="403">
        <f t="shared" si="4"/>
        <v>90</v>
      </c>
      <c r="W53" s="142"/>
    </row>
    <row r="54">
      <c r="A54" s="19" t="s">
        <v>77</v>
      </c>
      <c r="B54" s="20">
        <v>45937.0</v>
      </c>
      <c r="C54" s="1085" t="s">
        <v>27</v>
      </c>
      <c r="D54" s="647" t="s">
        <v>158</v>
      </c>
      <c r="E54" s="648"/>
      <c r="F54" s="745">
        <v>4.0</v>
      </c>
      <c r="G54" s="748" t="s">
        <v>73</v>
      </c>
      <c r="H54" s="747"/>
      <c r="I54" s="1043"/>
      <c r="J54" s="925"/>
      <c r="K54" s="925"/>
      <c r="L54" s="1045">
        <f>SUM(K54:K57)</f>
        <v>3618000</v>
      </c>
      <c r="M54" s="510"/>
      <c r="P54" s="56"/>
      <c r="Q54" s="80"/>
      <c r="R54" s="970">
        <v>45869.0</v>
      </c>
      <c r="S54" s="971" t="s">
        <v>312</v>
      </c>
      <c r="T54" s="1015">
        <v>3.5</v>
      </c>
      <c r="U54" s="972">
        <v>30.0</v>
      </c>
      <c r="V54" s="393">
        <f t="shared" si="4"/>
        <v>105</v>
      </c>
      <c r="W54" s="182"/>
    </row>
    <row r="55">
      <c r="A55" s="33"/>
      <c r="B55" s="39"/>
      <c r="C55" s="1062" t="s">
        <v>216</v>
      </c>
      <c r="D55" s="739" t="s">
        <v>39</v>
      </c>
      <c r="E55" s="1063"/>
      <c r="F55" s="741">
        <v>3.0</v>
      </c>
      <c r="G55" s="1064" t="s">
        <v>73</v>
      </c>
      <c r="H55" s="740"/>
      <c r="I55" s="1047">
        <v>150000.0</v>
      </c>
      <c r="J55" s="905"/>
      <c r="K55" s="943">
        <f t="shared" ref="K55:K61" si="6">I55*F55</f>
        <v>450000</v>
      </c>
      <c r="L55" s="142"/>
      <c r="M55" s="510"/>
    </row>
    <row r="56">
      <c r="A56" s="33"/>
      <c r="B56" s="39"/>
      <c r="C56" s="903" t="s">
        <v>291</v>
      </c>
      <c r="D56" s="632" t="s">
        <v>309</v>
      </c>
      <c r="E56" s="572"/>
      <c r="F56" s="752">
        <v>4.0</v>
      </c>
      <c r="G56" s="631" t="s">
        <v>73</v>
      </c>
      <c r="H56" s="754"/>
      <c r="I56" s="1047">
        <v>300000.0</v>
      </c>
      <c r="J56" s="905"/>
      <c r="K56" s="943">
        <f t="shared" si="6"/>
        <v>1200000</v>
      </c>
      <c r="L56" s="142"/>
      <c r="M56" s="510"/>
    </row>
    <row r="57">
      <c r="A57" s="56"/>
      <c r="B57" s="57"/>
      <c r="C57" s="1050" t="s">
        <v>157</v>
      </c>
      <c r="D57" s="1051" t="s">
        <v>101</v>
      </c>
      <c r="E57" s="1052"/>
      <c r="F57" s="1053">
        <v>4.0</v>
      </c>
      <c r="G57" s="1054" t="s">
        <v>73</v>
      </c>
      <c r="H57" s="1055"/>
      <c r="I57" s="1056">
        <v>492000.0</v>
      </c>
      <c r="J57" s="1057"/>
      <c r="K57" s="1058">
        <f t="shared" si="6"/>
        <v>1968000</v>
      </c>
      <c r="L57" s="182"/>
      <c r="M57" s="510"/>
    </row>
    <row r="58">
      <c r="A58" s="514" t="s">
        <v>26</v>
      </c>
      <c r="B58" s="20">
        <v>45968.0</v>
      </c>
      <c r="C58" s="1086" t="s">
        <v>27</v>
      </c>
      <c r="D58" s="815" t="s">
        <v>82</v>
      </c>
      <c r="E58" s="518"/>
      <c r="F58" s="870">
        <v>4.0</v>
      </c>
      <c r="G58" s="816" t="s">
        <v>73</v>
      </c>
      <c r="H58" s="869"/>
      <c r="I58" s="1087">
        <v>230000.0</v>
      </c>
      <c r="J58" s="925"/>
      <c r="K58" s="991">
        <f t="shared" si="6"/>
        <v>920000</v>
      </c>
      <c r="L58" s="1045">
        <f>SUM(K58:K61)</f>
        <v>4388000</v>
      </c>
      <c r="M58" s="510"/>
    </row>
    <row r="59">
      <c r="A59" s="33"/>
      <c r="B59" s="39"/>
      <c r="C59" s="903" t="s">
        <v>216</v>
      </c>
      <c r="D59" s="632" t="s">
        <v>186</v>
      </c>
      <c r="E59" s="572"/>
      <c r="F59" s="752">
        <v>3.0</v>
      </c>
      <c r="G59" s="631" t="s">
        <v>73</v>
      </c>
      <c r="H59" s="754"/>
      <c r="I59" s="1088">
        <v>300000.0</v>
      </c>
      <c r="J59" s="905"/>
      <c r="K59" s="943">
        <f t="shared" si="6"/>
        <v>900000</v>
      </c>
      <c r="L59" s="142"/>
      <c r="M59" s="1061" t="s">
        <v>303</v>
      </c>
    </row>
    <row r="60">
      <c r="A60" s="33"/>
      <c r="B60" s="39"/>
      <c r="C60" s="1089" t="s">
        <v>155</v>
      </c>
      <c r="D60" s="1090" t="s">
        <v>275</v>
      </c>
      <c r="E60" s="1091" t="s">
        <v>313</v>
      </c>
      <c r="F60" s="1092">
        <v>4.0</v>
      </c>
      <c r="G60" s="1093" t="s">
        <v>73</v>
      </c>
      <c r="H60" s="1094"/>
      <c r="I60" s="1095">
        <v>492000.0</v>
      </c>
      <c r="J60" s="1096" t="s">
        <v>66</v>
      </c>
      <c r="K60" s="1097">
        <f t="shared" si="6"/>
        <v>1968000</v>
      </c>
      <c r="L60" s="142"/>
      <c r="M60" s="510"/>
    </row>
    <row r="61">
      <c r="A61" s="33"/>
      <c r="B61" s="39"/>
      <c r="C61" s="85" t="s">
        <v>157</v>
      </c>
      <c r="D61" s="1098" t="s">
        <v>36</v>
      </c>
      <c r="E61" s="80"/>
      <c r="F61" s="1099">
        <v>4.0</v>
      </c>
      <c r="G61" s="104" t="s">
        <v>73</v>
      </c>
      <c r="H61" s="1100"/>
      <c r="I61" s="1070">
        <v>150000.0</v>
      </c>
      <c r="J61" s="910"/>
      <c r="K61" s="1001">
        <f t="shared" si="6"/>
        <v>600000</v>
      </c>
      <c r="L61" s="182"/>
      <c r="M61" s="510"/>
    </row>
    <row r="62">
      <c r="A62" s="33"/>
      <c r="B62" s="39"/>
      <c r="C62" s="1085" t="s">
        <v>284</v>
      </c>
      <c r="D62" s="647" t="s">
        <v>314</v>
      </c>
      <c r="E62" s="648"/>
      <c r="F62" s="748">
        <v>3.0</v>
      </c>
      <c r="G62" s="748" t="s">
        <v>30</v>
      </c>
      <c r="H62" s="1101" t="s">
        <v>315</v>
      </c>
      <c r="I62" s="1043"/>
      <c r="J62" s="925"/>
      <c r="K62" s="925"/>
      <c r="L62" s="1045">
        <f>K63</f>
        <v>1476000</v>
      </c>
      <c r="M62" s="510"/>
    </row>
    <row r="63">
      <c r="A63" s="56"/>
      <c r="B63" s="57"/>
      <c r="C63" s="1102" t="s">
        <v>51</v>
      </c>
      <c r="D63" s="669" t="s">
        <v>316</v>
      </c>
      <c r="E63" s="1103"/>
      <c r="F63" s="1104">
        <v>3.0</v>
      </c>
      <c r="G63" s="1104" t="s">
        <v>30</v>
      </c>
      <c r="H63" s="80"/>
      <c r="I63" s="1105"/>
      <c r="J63" s="1001">
        <v>492000.0</v>
      </c>
      <c r="K63" s="1001">
        <f>J63*F63</f>
        <v>1476000</v>
      </c>
      <c r="L63" s="182"/>
      <c r="M63" s="510"/>
    </row>
    <row r="64">
      <c r="A64" s="514" t="s">
        <v>41</v>
      </c>
      <c r="B64" s="20">
        <v>45998.0</v>
      </c>
      <c r="C64" s="1106" t="s">
        <v>27</v>
      </c>
      <c r="D64" s="1107" t="s">
        <v>275</v>
      </c>
      <c r="E64" s="1108" t="s">
        <v>317</v>
      </c>
      <c r="F64" s="1109">
        <v>4.0</v>
      </c>
      <c r="G64" s="1110" t="s">
        <v>73</v>
      </c>
      <c r="H64" s="1111"/>
      <c r="I64" s="1112">
        <v>492000.0</v>
      </c>
      <c r="J64" s="1113" t="s">
        <v>66</v>
      </c>
      <c r="K64" s="1114">
        <f>I64*F64</f>
        <v>1968000</v>
      </c>
      <c r="L64" s="1045">
        <f>SUM(K64:K67)</f>
        <v>3338000</v>
      </c>
      <c r="M64" s="510"/>
    </row>
    <row r="65">
      <c r="A65" s="33"/>
      <c r="B65" s="39"/>
      <c r="C65" s="73" t="s">
        <v>40</v>
      </c>
      <c r="D65" s="635" t="s">
        <v>43</v>
      </c>
      <c r="E65" s="356"/>
      <c r="F65" s="730">
        <v>4.0</v>
      </c>
      <c r="G65" s="76" t="s">
        <v>73</v>
      </c>
      <c r="H65" s="636"/>
      <c r="I65" s="1049"/>
      <c r="J65" s="905"/>
      <c r="K65" s="905"/>
      <c r="L65" s="142"/>
      <c r="M65" s="510"/>
    </row>
    <row r="66">
      <c r="A66" s="33"/>
      <c r="B66" s="39"/>
      <c r="C66" s="1115" t="s">
        <v>48</v>
      </c>
      <c r="D66" s="853" t="s">
        <v>49</v>
      </c>
      <c r="E66" s="1082" t="s">
        <v>318</v>
      </c>
      <c r="F66" s="1116">
        <v>4.0</v>
      </c>
      <c r="G66" s="855" t="s">
        <v>73</v>
      </c>
      <c r="H66" s="854"/>
      <c r="I66" s="1047">
        <v>230000.0</v>
      </c>
      <c r="J66" s="905"/>
      <c r="K66" s="943">
        <f t="shared" ref="K66:K67" si="7">I66*F66</f>
        <v>920000</v>
      </c>
      <c r="L66" s="142"/>
      <c r="M66" s="510"/>
    </row>
    <row r="67">
      <c r="A67" s="33"/>
      <c r="B67" s="57"/>
      <c r="C67" s="85" t="s">
        <v>38</v>
      </c>
      <c r="D67" s="1098" t="s">
        <v>36</v>
      </c>
      <c r="E67" s="80"/>
      <c r="F67" s="1099">
        <v>3.0</v>
      </c>
      <c r="G67" s="104" t="s">
        <v>73</v>
      </c>
      <c r="H67" s="1100"/>
      <c r="I67" s="1070">
        <v>150000.0</v>
      </c>
      <c r="J67" s="910"/>
      <c r="K67" s="1001">
        <f t="shared" si="7"/>
        <v>450000</v>
      </c>
      <c r="L67" s="182"/>
      <c r="M67" s="510"/>
    </row>
    <row r="68">
      <c r="A68" s="19" t="s">
        <v>45</v>
      </c>
      <c r="B68" s="1117" t="s">
        <v>319</v>
      </c>
      <c r="C68" s="1085" t="s">
        <v>27</v>
      </c>
      <c r="D68" s="647" t="s">
        <v>43</v>
      </c>
      <c r="E68" s="648"/>
      <c r="F68" s="745">
        <v>4.0</v>
      </c>
      <c r="G68" s="748" t="s">
        <v>73</v>
      </c>
      <c r="H68" s="747"/>
      <c r="I68" s="1043"/>
      <c r="J68" s="925"/>
      <c r="K68" s="925"/>
      <c r="L68" s="1045">
        <f>SUM(K68:K72)</f>
        <v>1734000</v>
      </c>
      <c r="M68" s="510"/>
    </row>
    <row r="69">
      <c r="A69" s="33"/>
      <c r="B69" s="39"/>
      <c r="C69" s="1080" t="s">
        <v>40</v>
      </c>
      <c r="D69" s="820" t="s">
        <v>33</v>
      </c>
      <c r="E69" s="820" t="s">
        <v>320</v>
      </c>
      <c r="F69" s="1078">
        <v>4.0</v>
      </c>
      <c r="G69" s="822" t="s">
        <v>73</v>
      </c>
      <c r="H69" s="821"/>
      <c r="I69" s="1049"/>
      <c r="J69" s="905"/>
      <c r="K69" s="905"/>
      <c r="L69" s="142"/>
      <c r="M69" s="510"/>
    </row>
    <row r="70">
      <c r="A70" s="33"/>
      <c r="B70" s="39"/>
      <c r="C70" s="52" t="s">
        <v>173</v>
      </c>
      <c r="D70" s="762" t="s">
        <v>36</v>
      </c>
      <c r="E70" s="1082" t="s">
        <v>318</v>
      </c>
      <c r="F70" s="1118">
        <v>2.0</v>
      </c>
      <c r="G70" s="763" t="s">
        <v>73</v>
      </c>
      <c r="H70" s="54"/>
      <c r="I70" s="1047">
        <v>150000.0</v>
      </c>
      <c r="J70" s="905"/>
      <c r="K70" s="943">
        <f t="shared" ref="K70:K73" si="8">I70*F70</f>
        <v>300000</v>
      </c>
      <c r="L70" s="142"/>
      <c r="M70" s="510"/>
    </row>
    <row r="71">
      <c r="A71" s="33"/>
      <c r="B71" s="39"/>
      <c r="C71" s="951" t="s">
        <v>175</v>
      </c>
      <c r="D71" s="952" t="s">
        <v>101</v>
      </c>
      <c r="E71" s="34"/>
      <c r="F71" s="1119">
        <v>2.0</v>
      </c>
      <c r="G71" s="1120" t="s">
        <v>73</v>
      </c>
      <c r="H71" s="953"/>
      <c r="I71" s="1121">
        <v>492000.0</v>
      </c>
      <c r="J71" s="957"/>
      <c r="K71" s="956">
        <f t="shared" si="8"/>
        <v>984000</v>
      </c>
      <c r="L71" s="142"/>
      <c r="M71" s="510"/>
    </row>
    <row r="72">
      <c r="A72" s="33"/>
      <c r="B72" s="39"/>
      <c r="C72" s="907" t="s">
        <v>38</v>
      </c>
      <c r="D72" s="1122" t="s">
        <v>39</v>
      </c>
      <c r="E72" s="80"/>
      <c r="F72" s="1123">
        <v>3.0</v>
      </c>
      <c r="G72" s="1124" t="s">
        <v>73</v>
      </c>
      <c r="H72" s="909"/>
      <c r="I72" s="1070">
        <v>150000.0</v>
      </c>
      <c r="J72" s="910"/>
      <c r="K72" s="1001">
        <f t="shared" si="8"/>
        <v>450000</v>
      </c>
      <c r="L72" s="182"/>
      <c r="M72" s="510"/>
    </row>
    <row r="73">
      <c r="A73" s="33"/>
      <c r="B73" s="39"/>
      <c r="C73" s="1125" t="s">
        <v>284</v>
      </c>
      <c r="D73" s="1126" t="s">
        <v>321</v>
      </c>
      <c r="E73" s="1127"/>
      <c r="F73" s="1128">
        <v>3.0</v>
      </c>
      <c r="G73" s="1128" t="s">
        <v>30</v>
      </c>
      <c r="H73" s="1129" t="s">
        <v>315</v>
      </c>
      <c r="I73" s="1087">
        <v>130000.0</v>
      </c>
      <c r="J73" s="925"/>
      <c r="K73" s="991">
        <f t="shared" si="8"/>
        <v>390000</v>
      </c>
      <c r="L73" s="1045">
        <f>SUM(K73:K74)</f>
        <v>2256000</v>
      </c>
      <c r="M73" s="510"/>
    </row>
    <row r="74">
      <c r="A74" s="56"/>
      <c r="B74" s="57"/>
      <c r="C74" s="1065" t="s">
        <v>51</v>
      </c>
      <c r="D74" s="1066" t="s">
        <v>322</v>
      </c>
      <c r="E74" s="1130"/>
      <c r="F74" s="1068">
        <v>3.0</v>
      </c>
      <c r="G74" s="1068" t="s">
        <v>30</v>
      </c>
      <c r="H74" s="80"/>
      <c r="I74" s="1070">
        <v>130000.0</v>
      </c>
      <c r="J74" s="1001">
        <v>492000.0</v>
      </c>
      <c r="K74" s="1001">
        <f>(I74*F74)+(J74*F74)</f>
        <v>1866000</v>
      </c>
      <c r="L74" s="182"/>
      <c r="M74" s="510"/>
    </row>
    <row r="75">
      <c r="I75" s="510"/>
      <c r="J75" s="510"/>
      <c r="K75" s="510"/>
      <c r="L75" s="510"/>
      <c r="M75" s="510"/>
    </row>
    <row r="76">
      <c r="A76" s="1033" t="s">
        <v>102</v>
      </c>
      <c r="I76" s="510"/>
      <c r="J76" s="510"/>
      <c r="K76" s="510"/>
      <c r="L76" s="510"/>
      <c r="M76" s="510"/>
    </row>
    <row r="77">
      <c r="I77" s="510"/>
      <c r="J77" s="510"/>
      <c r="K77" s="510"/>
      <c r="L77" s="510"/>
      <c r="M77" s="510"/>
    </row>
    <row r="78">
      <c r="A78" s="721" t="s">
        <v>10</v>
      </c>
      <c r="B78" s="722" t="s">
        <v>11</v>
      </c>
      <c r="C78" s="722" t="s">
        <v>12</v>
      </c>
      <c r="D78" s="722" t="s">
        <v>13</v>
      </c>
      <c r="E78" s="722" t="s">
        <v>14</v>
      </c>
      <c r="F78" s="723" t="s">
        <v>15</v>
      </c>
      <c r="G78" s="722" t="s">
        <v>16</v>
      </c>
      <c r="H78" s="722" t="s">
        <v>17</v>
      </c>
      <c r="I78" s="723" t="s">
        <v>261</v>
      </c>
      <c r="J78" s="723" t="s">
        <v>21</v>
      </c>
      <c r="K78" s="1040" t="s">
        <v>22</v>
      </c>
      <c r="L78" s="1041" t="s">
        <v>23</v>
      </c>
      <c r="M78" s="510"/>
    </row>
    <row r="79">
      <c r="A79" s="19" t="s">
        <v>55</v>
      </c>
      <c r="B79" s="887" t="s">
        <v>323</v>
      </c>
      <c r="C79" s="21" t="s">
        <v>78</v>
      </c>
      <c r="D79" s="1131" t="s">
        <v>28</v>
      </c>
      <c r="E79" s="1132" t="s">
        <v>324</v>
      </c>
      <c r="F79" s="24">
        <v>4.0</v>
      </c>
      <c r="G79" s="1133" t="s">
        <v>30</v>
      </c>
      <c r="H79" s="521" t="s">
        <v>325</v>
      </c>
      <c r="I79" s="1134"/>
      <c r="J79" s="1135"/>
      <c r="K79" s="1136"/>
      <c r="L79" s="1137">
        <f>K80</f>
        <v>600000</v>
      </c>
      <c r="M79" s="510"/>
    </row>
    <row r="80">
      <c r="A80" s="33"/>
      <c r="B80" s="39"/>
      <c r="C80" s="1138" t="s">
        <v>50</v>
      </c>
      <c r="D80" s="1139" t="s">
        <v>39</v>
      </c>
      <c r="E80" s="242"/>
      <c r="F80" s="1140">
        <v>4.0</v>
      </c>
      <c r="G80" s="1141" t="s">
        <v>30</v>
      </c>
      <c r="H80" s="142"/>
      <c r="I80" s="1142">
        <v>150000.0</v>
      </c>
      <c r="J80" s="1143"/>
      <c r="K80" s="1144">
        <f>I80*F80</f>
        <v>600000</v>
      </c>
      <c r="L80" s="51"/>
      <c r="M80" s="510"/>
    </row>
    <row r="81">
      <c r="A81" s="33"/>
      <c r="B81" s="39"/>
      <c r="C81" s="73" t="s">
        <v>52</v>
      </c>
      <c r="D81" s="1145" t="s">
        <v>43</v>
      </c>
      <c r="E81" s="1146" t="s">
        <v>326</v>
      </c>
      <c r="F81" s="76">
        <v>4.0</v>
      </c>
      <c r="G81" s="1147" t="s">
        <v>30</v>
      </c>
      <c r="H81" s="142"/>
      <c r="I81" s="1148"/>
      <c r="J81" s="1149"/>
      <c r="K81" s="1150"/>
      <c r="L81" s="51"/>
      <c r="M81" s="510"/>
    </row>
    <row r="82">
      <c r="A82" s="56"/>
      <c r="B82" s="57"/>
      <c r="C82" s="1151" t="s">
        <v>327</v>
      </c>
      <c r="D82" s="1152" t="s">
        <v>33</v>
      </c>
      <c r="E82" s="80"/>
      <c r="F82" s="1153">
        <v>4.0</v>
      </c>
      <c r="G82" s="867" t="s">
        <v>30</v>
      </c>
      <c r="H82" s="142"/>
      <c r="I82" s="1154"/>
      <c r="J82" s="1155"/>
      <c r="K82" s="1156"/>
      <c r="L82" s="69"/>
      <c r="M82" s="510"/>
    </row>
    <row r="83">
      <c r="A83" s="702" t="s">
        <v>58</v>
      </c>
      <c r="B83" s="887" t="s">
        <v>328</v>
      </c>
      <c r="C83" s="1106" t="s">
        <v>329</v>
      </c>
      <c r="D83" s="1157" t="s">
        <v>275</v>
      </c>
      <c r="E83" s="1158"/>
      <c r="F83" s="1110">
        <v>4.0</v>
      </c>
      <c r="G83" s="1159" t="s">
        <v>30</v>
      </c>
      <c r="H83" s="142"/>
      <c r="I83" s="1160">
        <v>492000.0</v>
      </c>
      <c r="J83" s="1161"/>
      <c r="K83" s="1162">
        <f t="shared" ref="K83:K84" si="9">I83*F83</f>
        <v>1968000</v>
      </c>
      <c r="L83" s="1163">
        <f>sum(K83:K87)</f>
        <v>3936000</v>
      </c>
      <c r="M83" s="510"/>
    </row>
    <row r="84">
      <c r="A84" s="255"/>
      <c r="B84" s="39"/>
      <c r="C84" s="951" t="s">
        <v>330</v>
      </c>
      <c r="D84" s="1164" t="s">
        <v>101</v>
      </c>
      <c r="E84" s="1165"/>
      <c r="F84" s="1120">
        <v>4.0</v>
      </c>
      <c r="G84" s="1166" t="s">
        <v>30</v>
      </c>
      <c r="H84" s="142"/>
      <c r="I84" s="1142">
        <v>492000.0</v>
      </c>
      <c r="J84" s="1149"/>
      <c r="K84" s="1167">
        <f t="shared" si="9"/>
        <v>1968000</v>
      </c>
      <c r="L84" s="51"/>
      <c r="M84" s="510"/>
    </row>
    <row r="85">
      <c r="A85" s="255"/>
      <c r="B85" s="39"/>
      <c r="C85" s="1168" t="s">
        <v>78</v>
      </c>
      <c r="D85" s="1169" t="s">
        <v>63</v>
      </c>
      <c r="E85" s="552"/>
      <c r="F85" s="639">
        <v>4.0</v>
      </c>
      <c r="G85" s="1170" t="s">
        <v>30</v>
      </c>
      <c r="H85" s="142"/>
      <c r="I85" s="1148"/>
      <c r="J85" s="1149"/>
      <c r="K85" s="1150"/>
      <c r="L85" s="51"/>
      <c r="M85" s="510"/>
    </row>
    <row r="86">
      <c r="A86" s="255"/>
      <c r="B86" s="39"/>
      <c r="C86" s="73" t="s">
        <v>50</v>
      </c>
      <c r="D86" s="1145" t="s">
        <v>43</v>
      </c>
      <c r="E86" s="1171" t="s">
        <v>331</v>
      </c>
      <c r="F86" s="76">
        <v>4.0</v>
      </c>
      <c r="G86" s="1147" t="s">
        <v>30</v>
      </c>
      <c r="H86" s="142"/>
      <c r="I86" s="1148"/>
      <c r="J86" s="1149"/>
      <c r="K86" s="1150"/>
      <c r="L86" s="51"/>
      <c r="M86" s="510"/>
    </row>
    <row r="87">
      <c r="A87" s="256"/>
      <c r="B87" s="57"/>
      <c r="C87" s="1172" t="s">
        <v>52</v>
      </c>
      <c r="D87" s="1152" t="s">
        <v>33</v>
      </c>
      <c r="E87" s="1173" t="s">
        <v>332</v>
      </c>
      <c r="F87" s="863">
        <v>4.0</v>
      </c>
      <c r="G87" s="867" t="s">
        <v>30</v>
      </c>
      <c r="H87" s="182"/>
      <c r="I87" s="1154"/>
      <c r="J87" s="1155"/>
      <c r="K87" s="1156"/>
      <c r="L87" s="69"/>
      <c r="M87" s="510"/>
    </row>
    <row r="88">
      <c r="A88" s="690" t="s">
        <v>62</v>
      </c>
      <c r="B88" s="1117" t="s">
        <v>333</v>
      </c>
      <c r="C88" s="21" t="s">
        <v>27</v>
      </c>
      <c r="D88" s="1169" t="s">
        <v>28</v>
      </c>
      <c r="E88" s="973"/>
      <c r="F88" s="266">
        <v>4.0</v>
      </c>
      <c r="G88" s="1174" t="s">
        <v>73</v>
      </c>
      <c r="H88" s="1175"/>
      <c r="I88" s="1134"/>
      <c r="J88" s="1135"/>
      <c r="K88" s="1136"/>
      <c r="L88" s="1137">
        <f>sum(K88:K91)</f>
        <v>2396000</v>
      </c>
      <c r="M88" s="510"/>
    </row>
    <row r="89">
      <c r="A89" s="33"/>
      <c r="B89" s="39"/>
      <c r="C89" s="1080" t="s">
        <v>40</v>
      </c>
      <c r="D89" s="1176" t="s">
        <v>33</v>
      </c>
      <c r="E89" s="1077"/>
      <c r="F89" s="1078">
        <v>4.0</v>
      </c>
      <c r="G89" s="1177" t="s">
        <v>73</v>
      </c>
      <c r="H89" s="825"/>
      <c r="I89" s="1148"/>
      <c r="J89" s="1149"/>
      <c r="K89" s="1150"/>
      <c r="L89" s="51"/>
      <c r="M89" s="510"/>
    </row>
    <row r="90">
      <c r="A90" s="33"/>
      <c r="B90" s="39"/>
      <c r="C90" s="73" t="s">
        <v>31</v>
      </c>
      <c r="D90" s="1145" t="s">
        <v>82</v>
      </c>
      <c r="E90" s="75"/>
      <c r="F90" s="730">
        <v>4.0</v>
      </c>
      <c r="G90" s="1178" t="s">
        <v>73</v>
      </c>
      <c r="H90" s="1179"/>
      <c r="I90" s="1142">
        <v>230000.0</v>
      </c>
      <c r="J90" s="1143"/>
      <c r="K90" s="1144">
        <f t="shared" ref="K90:K91" si="10">I90*F90</f>
        <v>920000</v>
      </c>
      <c r="L90" s="51"/>
      <c r="M90" s="510"/>
    </row>
    <row r="91">
      <c r="A91" s="33"/>
      <c r="B91" s="39"/>
      <c r="C91" s="1180" t="s">
        <v>38</v>
      </c>
      <c r="D91" s="1181" t="s">
        <v>275</v>
      </c>
      <c r="E91" s="1182"/>
      <c r="F91" s="1183">
        <v>3.0</v>
      </c>
      <c r="G91" s="1184" t="s">
        <v>73</v>
      </c>
      <c r="H91" s="1185"/>
      <c r="I91" s="1186">
        <v>492000.0</v>
      </c>
      <c r="J91" s="1187"/>
      <c r="K91" s="1188">
        <f t="shared" si="10"/>
        <v>1476000</v>
      </c>
      <c r="L91" s="69"/>
      <c r="M91" s="510"/>
    </row>
    <row r="92">
      <c r="A92" s="33"/>
      <c r="B92" s="39"/>
      <c r="C92" s="690" t="s">
        <v>144</v>
      </c>
      <c r="D92" s="1189" t="s">
        <v>43</v>
      </c>
      <c r="E92" s="1190" t="s">
        <v>334</v>
      </c>
      <c r="F92" s="744">
        <v>4.0</v>
      </c>
      <c r="G92" s="1191" t="s">
        <v>30</v>
      </c>
      <c r="H92" s="1192" t="s">
        <v>74</v>
      </c>
      <c r="I92" s="1193"/>
      <c r="J92" s="1194"/>
      <c r="K92" s="1195"/>
      <c r="L92" s="1196">
        <f>sum(K92:K93)</f>
        <v>984000</v>
      </c>
      <c r="M92" s="510"/>
    </row>
    <row r="93">
      <c r="A93" s="56"/>
      <c r="B93" s="57"/>
      <c r="C93" s="1197" t="s">
        <v>57</v>
      </c>
      <c r="D93" s="1198" t="s">
        <v>101</v>
      </c>
      <c r="E93" s="1199"/>
      <c r="F93" s="1054">
        <v>2.0</v>
      </c>
      <c r="G93" s="1200" t="s">
        <v>30</v>
      </c>
      <c r="H93" s="182"/>
      <c r="I93" s="1201">
        <v>492000.0</v>
      </c>
      <c r="J93" s="1202"/>
      <c r="K93" s="1203">
        <f>I93*F93</f>
        <v>984000</v>
      </c>
      <c r="L93" s="69"/>
      <c r="M93" s="510"/>
    </row>
    <row r="94">
      <c r="A94" s="514" t="s">
        <v>77</v>
      </c>
      <c r="B94" s="1117" t="s">
        <v>335</v>
      </c>
      <c r="C94" s="21" t="s">
        <v>27</v>
      </c>
      <c r="D94" s="1169" t="s">
        <v>28</v>
      </c>
      <c r="E94" s="1204" t="s">
        <v>249</v>
      </c>
      <c r="F94" s="266">
        <v>4.0</v>
      </c>
      <c r="G94" s="1174" t="s">
        <v>73</v>
      </c>
      <c r="H94" s="1175"/>
      <c r="I94" s="1134"/>
      <c r="J94" s="1205" t="s">
        <v>66</v>
      </c>
      <c r="K94" s="1136"/>
      <c r="L94" s="1206">
        <f>sum(K94:K97)</f>
        <v>4068000</v>
      </c>
      <c r="M94" s="510"/>
    </row>
    <row r="95">
      <c r="A95" s="33"/>
      <c r="B95" s="39"/>
      <c r="C95" s="903" t="s">
        <v>40</v>
      </c>
      <c r="D95" s="1207" t="s">
        <v>336</v>
      </c>
      <c r="E95" s="356"/>
      <c r="F95" s="752">
        <v>4.0</v>
      </c>
      <c r="G95" s="1208" t="s">
        <v>73</v>
      </c>
      <c r="H95" s="45"/>
      <c r="I95" s="1142">
        <v>300000.0</v>
      </c>
      <c r="J95" s="1143"/>
      <c r="K95" s="1144">
        <f t="shared" ref="K95:K97" si="11">I95*F95</f>
        <v>1200000</v>
      </c>
      <c r="L95" s="51"/>
      <c r="M95" s="510"/>
    </row>
    <row r="96">
      <c r="A96" s="33"/>
      <c r="B96" s="39"/>
      <c r="C96" s="903" t="s">
        <v>151</v>
      </c>
      <c r="D96" s="1207" t="s">
        <v>127</v>
      </c>
      <c r="E96" s="583"/>
      <c r="F96" s="752">
        <v>3.0</v>
      </c>
      <c r="G96" s="1208" t="s">
        <v>73</v>
      </c>
      <c r="H96" s="45"/>
      <c r="I96" s="1142">
        <v>300000.0</v>
      </c>
      <c r="J96" s="1143"/>
      <c r="K96" s="1144">
        <f t="shared" si="11"/>
        <v>900000</v>
      </c>
      <c r="L96" s="51"/>
      <c r="M96" s="510"/>
    </row>
    <row r="97">
      <c r="A97" s="33"/>
      <c r="B97" s="39"/>
      <c r="C97" s="1209" t="s">
        <v>157</v>
      </c>
      <c r="D97" s="1210" t="s">
        <v>337</v>
      </c>
      <c r="E97" s="1211"/>
      <c r="F97" s="1212">
        <v>4.0</v>
      </c>
      <c r="G97" s="1213" t="s">
        <v>73</v>
      </c>
      <c r="H97" s="1214"/>
      <c r="I97" s="1215">
        <v>492000.0</v>
      </c>
      <c r="J97" s="1216"/>
      <c r="K97" s="1217">
        <f t="shared" si="11"/>
        <v>1968000</v>
      </c>
      <c r="L97" s="69"/>
      <c r="M97" s="510"/>
    </row>
    <row r="98">
      <c r="A98" s="33"/>
      <c r="B98" s="39"/>
      <c r="C98" s="1218" t="s">
        <v>50</v>
      </c>
      <c r="D98" s="1219" t="s">
        <v>33</v>
      </c>
      <c r="E98" s="1220"/>
      <c r="F98" s="1221">
        <v>4.0</v>
      </c>
      <c r="G98" s="1222" t="s">
        <v>30</v>
      </c>
      <c r="H98" s="1223" t="s">
        <v>338</v>
      </c>
      <c r="I98" s="1193"/>
      <c r="J98" s="1194"/>
      <c r="K98" s="1136"/>
      <c r="L98" s="1224">
        <f>K99</f>
        <v>1968000</v>
      </c>
      <c r="M98" s="510"/>
    </row>
    <row r="99">
      <c r="A99" s="56"/>
      <c r="B99" s="57"/>
      <c r="C99" s="1225" t="s">
        <v>52</v>
      </c>
      <c r="D99" s="1226" t="s">
        <v>339</v>
      </c>
      <c r="E99" s="1227"/>
      <c r="F99" s="1228">
        <v>4.0</v>
      </c>
      <c r="G99" s="1229" t="s">
        <v>30</v>
      </c>
      <c r="H99" s="182"/>
      <c r="I99" s="1230">
        <v>492000.0</v>
      </c>
      <c r="J99" s="1231"/>
      <c r="K99" s="1232">
        <f>I99*F99</f>
        <v>1968000</v>
      </c>
      <c r="L99" s="69"/>
      <c r="M99" s="510"/>
    </row>
    <row r="100">
      <c r="A100" s="690" t="s">
        <v>26</v>
      </c>
      <c r="B100" s="1117" t="s">
        <v>340</v>
      </c>
      <c r="C100" s="1085" t="s">
        <v>27</v>
      </c>
      <c r="D100" s="1145" t="s">
        <v>43</v>
      </c>
      <c r="E100" s="1204" t="s">
        <v>249</v>
      </c>
      <c r="F100" s="745">
        <v>4.0</v>
      </c>
      <c r="G100" s="1233" t="s">
        <v>30</v>
      </c>
      <c r="H100" s="1234"/>
      <c r="I100" s="1134"/>
      <c r="J100" s="1235" t="s">
        <v>66</v>
      </c>
      <c r="K100" s="1136"/>
      <c r="L100" s="1137">
        <f>sum(K100:K103)</f>
        <v>2490000</v>
      </c>
      <c r="M100" s="510"/>
    </row>
    <row r="101">
      <c r="A101" s="33"/>
      <c r="B101" s="39"/>
      <c r="C101" s="903" t="s">
        <v>40</v>
      </c>
      <c r="D101" s="1207" t="s">
        <v>336</v>
      </c>
      <c r="E101" s="356"/>
      <c r="F101" s="752">
        <v>4.0</v>
      </c>
      <c r="G101" s="1236" t="s">
        <v>30</v>
      </c>
      <c r="H101" s="45"/>
      <c r="I101" s="1142">
        <v>300000.0</v>
      </c>
      <c r="J101" s="1143"/>
      <c r="K101" s="1144">
        <f t="shared" ref="K101:K103" si="12">I101*F101</f>
        <v>1200000</v>
      </c>
      <c r="L101" s="51"/>
      <c r="M101" s="510"/>
    </row>
    <row r="102">
      <c r="A102" s="33"/>
      <c r="B102" s="39"/>
      <c r="C102" s="52" t="s">
        <v>31</v>
      </c>
      <c r="D102" s="1237" t="s">
        <v>341</v>
      </c>
      <c r="E102" s="1238"/>
      <c r="F102" s="1118">
        <v>3.0</v>
      </c>
      <c r="G102" s="1239" t="s">
        <v>30</v>
      </c>
      <c r="H102" s="1240"/>
      <c r="I102" s="1142">
        <v>230000.0</v>
      </c>
      <c r="J102" s="1143"/>
      <c r="K102" s="1144">
        <f t="shared" si="12"/>
        <v>690000</v>
      </c>
      <c r="L102" s="51"/>
      <c r="M102" s="510"/>
    </row>
    <row r="103">
      <c r="A103" s="33"/>
      <c r="B103" s="39"/>
      <c r="C103" s="1241" t="s">
        <v>38</v>
      </c>
      <c r="D103" s="1242" t="s">
        <v>36</v>
      </c>
      <c r="E103" s="1243"/>
      <c r="F103" s="1244">
        <v>4.0</v>
      </c>
      <c r="G103" s="1245" t="s">
        <v>30</v>
      </c>
      <c r="H103" s="1246"/>
      <c r="I103" s="1247">
        <v>150000.0</v>
      </c>
      <c r="J103" s="1248"/>
      <c r="K103" s="1249">
        <f t="shared" si="12"/>
        <v>600000</v>
      </c>
      <c r="L103" s="164"/>
      <c r="M103" s="510"/>
    </row>
    <row r="104">
      <c r="A104" s="33"/>
      <c r="B104" s="39"/>
      <c r="C104" s="1250" t="s">
        <v>284</v>
      </c>
      <c r="D104" s="1219" t="s">
        <v>33</v>
      </c>
      <c r="E104" s="1251" t="s">
        <v>285</v>
      </c>
      <c r="F104" s="1221">
        <v>3.0</v>
      </c>
      <c r="G104" s="1252" t="s">
        <v>73</v>
      </c>
      <c r="H104" s="1253" t="s">
        <v>342</v>
      </c>
      <c r="I104" s="1193"/>
      <c r="J104" s="1194"/>
      <c r="K104" s="1136"/>
      <c r="L104" s="1137">
        <f>K105</f>
        <v>1476000</v>
      </c>
      <c r="M104" s="510"/>
    </row>
    <row r="105">
      <c r="A105" s="56"/>
      <c r="B105" s="57"/>
      <c r="C105" s="1151" t="s">
        <v>51</v>
      </c>
      <c r="D105" s="1152" t="s">
        <v>33</v>
      </c>
      <c r="E105" s="1173" t="s">
        <v>101</v>
      </c>
      <c r="F105" s="1153">
        <v>3.0</v>
      </c>
      <c r="G105" s="1254" t="s">
        <v>73</v>
      </c>
      <c r="H105" s="182"/>
      <c r="I105" s="1255">
        <v>492000.0</v>
      </c>
      <c r="J105" s="1256"/>
      <c r="K105" s="1257">
        <f t="shared" ref="K105:K109" si="13">I105*F105</f>
        <v>1476000</v>
      </c>
      <c r="L105" s="69"/>
      <c r="M105" s="510"/>
    </row>
    <row r="106">
      <c r="A106" s="690" t="s">
        <v>41</v>
      </c>
      <c r="B106" s="1117" t="s">
        <v>343</v>
      </c>
      <c r="C106" s="888" t="s">
        <v>27</v>
      </c>
      <c r="D106" s="1258" t="s">
        <v>336</v>
      </c>
      <c r="E106" s="612"/>
      <c r="F106" s="806">
        <v>4.0</v>
      </c>
      <c r="G106" s="1259" t="s">
        <v>73</v>
      </c>
      <c r="H106" s="299"/>
      <c r="I106" s="1260">
        <v>300000.0</v>
      </c>
      <c r="J106" s="1261"/>
      <c r="K106" s="1262">
        <f t="shared" si="13"/>
        <v>1200000</v>
      </c>
      <c r="L106" s="1137">
        <f>sum(K106:K109)</f>
        <v>3300000</v>
      </c>
      <c r="M106" s="510"/>
    </row>
    <row r="107">
      <c r="A107" s="33"/>
      <c r="B107" s="39"/>
      <c r="C107" s="1138" t="s">
        <v>40</v>
      </c>
      <c r="D107" s="1139" t="s">
        <v>92</v>
      </c>
      <c r="E107" s="242"/>
      <c r="F107" s="1263">
        <v>4.0</v>
      </c>
      <c r="G107" s="1264" t="s">
        <v>73</v>
      </c>
      <c r="H107" s="1265"/>
      <c r="I107" s="1142">
        <v>150000.0</v>
      </c>
      <c r="J107" s="1143"/>
      <c r="K107" s="1144">
        <f t="shared" si="13"/>
        <v>600000</v>
      </c>
      <c r="L107" s="51"/>
      <c r="M107" s="510"/>
    </row>
    <row r="108">
      <c r="A108" s="33"/>
      <c r="B108" s="39"/>
      <c r="C108" s="40" t="s">
        <v>151</v>
      </c>
      <c r="D108" s="1266" t="s">
        <v>127</v>
      </c>
      <c r="E108" s="42"/>
      <c r="F108" s="1048">
        <v>3.0</v>
      </c>
      <c r="G108" s="1267" t="s">
        <v>73</v>
      </c>
      <c r="H108" s="1268"/>
      <c r="I108" s="1142">
        <v>300000.0</v>
      </c>
      <c r="J108" s="1143"/>
      <c r="K108" s="1144">
        <f t="shared" si="13"/>
        <v>900000</v>
      </c>
      <c r="L108" s="51"/>
      <c r="M108" s="510"/>
    </row>
    <row r="109">
      <c r="A109" s="33"/>
      <c r="B109" s="39"/>
      <c r="C109" s="1081" t="s">
        <v>157</v>
      </c>
      <c r="D109" s="1269" t="s">
        <v>36</v>
      </c>
      <c r="E109" s="155"/>
      <c r="F109" s="1270">
        <v>4.0</v>
      </c>
      <c r="G109" s="1271" t="s">
        <v>73</v>
      </c>
      <c r="H109" s="1214"/>
      <c r="I109" s="1247">
        <v>150000.0</v>
      </c>
      <c r="J109" s="1248"/>
      <c r="K109" s="1249">
        <f t="shared" si="13"/>
        <v>600000</v>
      </c>
      <c r="L109" s="164"/>
      <c r="M109" s="510"/>
    </row>
    <row r="110">
      <c r="A110" s="33"/>
      <c r="B110" s="39"/>
      <c r="C110" s="1085" t="s">
        <v>284</v>
      </c>
      <c r="D110" s="1272" t="s">
        <v>158</v>
      </c>
      <c r="E110" s="1273" t="s">
        <v>60</v>
      </c>
      <c r="F110" s="748">
        <v>3.0</v>
      </c>
      <c r="G110" s="1233" t="s">
        <v>30</v>
      </c>
      <c r="H110" s="1274" t="s">
        <v>342</v>
      </c>
      <c r="I110" s="1193"/>
      <c r="J110" s="1194"/>
      <c r="K110" s="1136"/>
      <c r="L110" s="1137">
        <f>K111</f>
        <v>1476000</v>
      </c>
      <c r="M110" s="510"/>
    </row>
    <row r="111">
      <c r="A111" s="56"/>
      <c r="B111" s="57"/>
      <c r="C111" s="1102" t="s">
        <v>51</v>
      </c>
      <c r="D111" s="1275" t="s">
        <v>158</v>
      </c>
      <c r="E111" s="1276" t="s">
        <v>101</v>
      </c>
      <c r="F111" s="1104">
        <v>3.0</v>
      </c>
      <c r="G111" s="1277" t="s">
        <v>30</v>
      </c>
      <c r="H111" s="182"/>
      <c r="I111" s="1255">
        <v>492000.0</v>
      </c>
      <c r="J111" s="1256"/>
      <c r="K111" s="1257">
        <f>I111*F111</f>
        <v>1476000</v>
      </c>
      <c r="L111" s="69"/>
      <c r="M111" s="510"/>
    </row>
    <row r="112">
      <c r="A112" s="19" t="s">
        <v>45</v>
      </c>
      <c r="B112" s="1278" t="s">
        <v>344</v>
      </c>
      <c r="C112" s="1250" t="s">
        <v>27</v>
      </c>
      <c r="D112" s="1279" t="s">
        <v>33</v>
      </c>
      <c r="E112" s="1220"/>
      <c r="F112" s="1280">
        <v>4.0</v>
      </c>
      <c r="G112" s="1252" t="s">
        <v>73</v>
      </c>
      <c r="H112" s="1281"/>
      <c r="I112" s="1134"/>
      <c r="J112" s="1135"/>
      <c r="K112" s="1136"/>
      <c r="L112" s="1137">
        <f>sum(K112:K115)</f>
        <v>2658000</v>
      </c>
      <c r="M112" s="510"/>
    </row>
    <row r="113">
      <c r="A113" s="33"/>
      <c r="B113" s="39"/>
      <c r="C113" s="52" t="s">
        <v>216</v>
      </c>
      <c r="D113" s="1237" t="s">
        <v>49</v>
      </c>
      <c r="E113" s="1238"/>
      <c r="F113" s="1118">
        <v>3.0</v>
      </c>
      <c r="G113" s="1282" t="s">
        <v>73</v>
      </c>
      <c r="H113" s="1240"/>
      <c r="I113" s="1142">
        <v>230000.0</v>
      </c>
      <c r="J113" s="1143"/>
      <c r="K113" s="1144">
        <f>I113*F113</f>
        <v>690000</v>
      </c>
      <c r="L113" s="51"/>
      <c r="M113" s="510"/>
    </row>
    <row r="114">
      <c r="A114" s="33"/>
      <c r="B114" s="39"/>
      <c r="C114" s="73" t="s">
        <v>291</v>
      </c>
      <c r="D114" s="1145" t="s">
        <v>43</v>
      </c>
      <c r="E114" s="75"/>
      <c r="F114" s="730">
        <v>4.0</v>
      </c>
      <c r="G114" s="1178" t="s">
        <v>73</v>
      </c>
      <c r="H114" s="1179"/>
      <c r="I114" s="1148"/>
      <c r="J114" s="1149"/>
      <c r="K114" s="1150"/>
      <c r="L114" s="51"/>
      <c r="M114" s="510"/>
    </row>
    <row r="115">
      <c r="A115" s="56"/>
      <c r="B115" s="57"/>
      <c r="C115" s="1283" t="s">
        <v>157</v>
      </c>
      <c r="D115" s="1226" t="s">
        <v>339</v>
      </c>
      <c r="E115" s="1227"/>
      <c r="F115" s="1284">
        <v>4.0</v>
      </c>
      <c r="G115" s="1285" t="s">
        <v>73</v>
      </c>
      <c r="H115" s="1286"/>
      <c r="I115" s="1230">
        <v>492000.0</v>
      </c>
      <c r="J115" s="1287"/>
      <c r="K115" s="1288">
        <f>I115*F115</f>
        <v>1968000</v>
      </c>
      <c r="L115" s="69"/>
      <c r="M115" s="510"/>
    </row>
    <row r="116">
      <c r="A116" s="510"/>
      <c r="B116" s="510"/>
      <c r="C116" s="510"/>
      <c r="D116" s="510"/>
      <c r="E116" s="510"/>
      <c r="F116" s="510"/>
      <c r="G116" s="510"/>
      <c r="H116" s="510"/>
      <c r="I116" s="510"/>
      <c r="J116" s="510"/>
      <c r="K116" s="510"/>
      <c r="L116" s="510"/>
      <c r="M116" s="510"/>
    </row>
    <row r="117">
      <c r="A117" s="1033" t="s">
        <v>128</v>
      </c>
      <c r="I117" s="510"/>
      <c r="J117" s="510"/>
      <c r="K117" s="510"/>
      <c r="L117" s="510"/>
      <c r="M117" s="510"/>
    </row>
    <row r="118">
      <c r="I118" s="510"/>
      <c r="J118" s="510"/>
      <c r="K118" s="510"/>
      <c r="L118" s="510"/>
      <c r="M118" s="510"/>
    </row>
    <row r="119">
      <c r="A119" s="721" t="s">
        <v>10</v>
      </c>
      <c r="B119" s="722" t="s">
        <v>11</v>
      </c>
      <c r="C119" s="722" t="s">
        <v>12</v>
      </c>
      <c r="D119" s="722" t="s">
        <v>13</v>
      </c>
      <c r="E119" s="722" t="s">
        <v>14</v>
      </c>
      <c r="F119" s="723" t="s">
        <v>15</v>
      </c>
      <c r="G119" s="722" t="s">
        <v>16</v>
      </c>
      <c r="H119" s="722" t="s">
        <v>17</v>
      </c>
      <c r="I119" s="723" t="s">
        <v>20</v>
      </c>
      <c r="J119" s="723" t="s">
        <v>21</v>
      </c>
      <c r="K119" s="1040" t="s">
        <v>22</v>
      </c>
      <c r="L119" s="1041" t="s">
        <v>23</v>
      </c>
      <c r="M119" s="510"/>
    </row>
    <row r="120">
      <c r="A120" s="19" t="s">
        <v>55</v>
      </c>
      <c r="B120" s="1117" t="s">
        <v>345</v>
      </c>
      <c r="C120" s="21" t="s">
        <v>27</v>
      </c>
      <c r="D120" s="22" t="s">
        <v>63</v>
      </c>
      <c r="E120" s="1289" t="s">
        <v>43</v>
      </c>
      <c r="F120" s="24">
        <v>4.0</v>
      </c>
      <c r="G120" s="1174" t="s">
        <v>73</v>
      </c>
      <c r="H120" s="1175"/>
      <c r="I120" s="1290"/>
      <c r="J120" s="1291"/>
      <c r="K120" s="1291"/>
      <c r="L120" s="1292">
        <f>sum(K120:K123)</f>
        <v>1290000</v>
      </c>
      <c r="M120" s="510"/>
    </row>
    <row r="121">
      <c r="A121" s="33"/>
      <c r="B121" s="39"/>
      <c r="C121" s="1080" t="s">
        <v>40</v>
      </c>
      <c r="D121" s="820" t="s">
        <v>71</v>
      </c>
      <c r="E121" s="821"/>
      <c r="F121" s="822">
        <v>4.0</v>
      </c>
      <c r="G121" s="1177" t="s">
        <v>73</v>
      </c>
      <c r="H121" s="825"/>
      <c r="I121" s="1293"/>
      <c r="J121" s="1294"/>
      <c r="K121" s="1294"/>
      <c r="L121" s="98"/>
      <c r="M121" s="510"/>
    </row>
    <row r="122">
      <c r="A122" s="33"/>
      <c r="B122" s="39"/>
      <c r="C122" s="1138" t="s">
        <v>31</v>
      </c>
      <c r="D122" s="310" t="s">
        <v>92</v>
      </c>
      <c r="E122" s="1295"/>
      <c r="F122" s="1140">
        <v>4.0</v>
      </c>
      <c r="G122" s="1264" t="s">
        <v>73</v>
      </c>
      <c r="H122" s="1265"/>
      <c r="I122" s="1296">
        <v>150000.0</v>
      </c>
      <c r="J122" s="1294"/>
      <c r="K122" s="1296">
        <f t="shared" ref="K122:K123" si="14">I122*F122</f>
        <v>600000</v>
      </c>
      <c r="L122" s="98"/>
      <c r="M122" s="510"/>
    </row>
    <row r="123">
      <c r="A123" s="56"/>
      <c r="B123" s="57"/>
      <c r="C123" s="1065" t="s">
        <v>38</v>
      </c>
      <c r="D123" s="1066" t="s">
        <v>82</v>
      </c>
      <c r="E123" s="1069"/>
      <c r="F123" s="1068">
        <v>3.0</v>
      </c>
      <c r="G123" s="1297" t="s">
        <v>73</v>
      </c>
      <c r="H123" s="1298"/>
      <c r="I123" s="1299">
        <v>230000.0</v>
      </c>
      <c r="J123" s="1300"/>
      <c r="K123" s="1299">
        <f t="shared" si="14"/>
        <v>690000</v>
      </c>
      <c r="L123" s="110"/>
      <c r="M123" s="510"/>
    </row>
    <row r="124">
      <c r="A124" s="19" t="s">
        <v>58</v>
      </c>
      <c r="B124" s="1117" t="s">
        <v>346</v>
      </c>
      <c r="C124" s="21" t="s">
        <v>27</v>
      </c>
      <c r="D124" s="22" t="s">
        <v>63</v>
      </c>
      <c r="E124" s="1301" t="s">
        <v>347</v>
      </c>
      <c r="F124" s="24">
        <v>4.0</v>
      </c>
      <c r="G124" s="1174" t="s">
        <v>73</v>
      </c>
      <c r="H124" s="1175"/>
      <c r="I124" s="1290"/>
      <c r="J124" s="1291"/>
      <c r="K124" s="1291"/>
      <c r="L124" s="1292">
        <f>SUM(K126:K127)</f>
        <v>2076000</v>
      </c>
      <c r="M124" s="510"/>
    </row>
    <row r="125">
      <c r="A125" s="33"/>
      <c r="B125" s="39"/>
      <c r="C125" s="73" t="s">
        <v>40</v>
      </c>
      <c r="D125" s="635" t="s">
        <v>43</v>
      </c>
      <c r="E125" s="1108" t="s">
        <v>348</v>
      </c>
      <c r="F125" s="76">
        <v>4.0</v>
      </c>
      <c r="G125" s="1178" t="s">
        <v>73</v>
      </c>
      <c r="H125" s="1179"/>
      <c r="I125" s="1293"/>
      <c r="J125" s="1294"/>
      <c r="K125" s="1294"/>
      <c r="L125" s="98"/>
      <c r="M125" s="510"/>
    </row>
    <row r="126">
      <c r="A126" s="33"/>
      <c r="B126" s="39"/>
      <c r="C126" s="1138" t="s">
        <v>31</v>
      </c>
      <c r="D126" s="310" t="s">
        <v>92</v>
      </c>
      <c r="E126" s="1302" t="s">
        <v>65</v>
      </c>
      <c r="F126" s="1140">
        <v>4.0</v>
      </c>
      <c r="G126" s="1264" t="s">
        <v>73</v>
      </c>
      <c r="H126" s="1303"/>
      <c r="I126" s="1296">
        <v>150000.0</v>
      </c>
      <c r="J126" s="1304" t="s">
        <v>113</v>
      </c>
      <c r="K126" s="1296">
        <f t="shared" ref="K126:K127" si="15">I126*F126</f>
        <v>600000</v>
      </c>
      <c r="L126" s="98"/>
      <c r="M126" s="510"/>
    </row>
    <row r="127">
      <c r="A127" s="56"/>
      <c r="B127" s="57"/>
      <c r="C127" s="1050" t="s">
        <v>38</v>
      </c>
      <c r="D127" s="1051" t="s">
        <v>101</v>
      </c>
      <c r="E127" s="1055"/>
      <c r="F127" s="1054">
        <v>3.0</v>
      </c>
      <c r="G127" s="1305" t="s">
        <v>73</v>
      </c>
      <c r="H127" s="1306"/>
      <c r="I127" s="1307">
        <v>492000.0</v>
      </c>
      <c r="J127" s="1308"/>
      <c r="K127" s="1309">
        <f t="shared" si="15"/>
        <v>1476000</v>
      </c>
      <c r="L127" s="110"/>
      <c r="M127" s="510"/>
    </row>
    <row r="128">
      <c r="A128" s="690" t="s">
        <v>62</v>
      </c>
      <c r="B128" s="1117" t="s">
        <v>349</v>
      </c>
      <c r="C128" s="1310" t="s">
        <v>70</v>
      </c>
      <c r="D128" s="1311" t="s">
        <v>63</v>
      </c>
      <c r="E128" s="1312" t="s">
        <v>350</v>
      </c>
      <c r="F128" s="1313">
        <v>4.0</v>
      </c>
      <c r="G128" s="1314" t="s">
        <v>30</v>
      </c>
      <c r="H128" s="1315" t="s">
        <v>351</v>
      </c>
      <c r="I128" s="1316"/>
      <c r="J128" s="1317"/>
      <c r="K128" s="1318"/>
      <c r="L128" s="1319"/>
      <c r="M128" s="510"/>
    </row>
    <row r="129">
      <c r="A129" s="33"/>
      <c r="B129" s="39"/>
      <c r="C129" s="1320" t="s">
        <v>352</v>
      </c>
      <c r="D129" s="1321" t="s">
        <v>353</v>
      </c>
      <c r="E129" s="1322" t="s">
        <v>354</v>
      </c>
      <c r="F129" s="781">
        <v>4.0</v>
      </c>
      <c r="G129" s="1323" t="s">
        <v>73</v>
      </c>
      <c r="H129" s="1324" t="s">
        <v>355</v>
      </c>
      <c r="I129" s="1325" t="s">
        <v>47</v>
      </c>
      <c r="J129" s="1326"/>
      <c r="K129" s="1326"/>
      <c r="L129" s="1327"/>
      <c r="M129" s="510"/>
    </row>
    <row r="130">
      <c r="A130" s="33"/>
      <c r="B130" s="39"/>
      <c r="C130" s="1328" t="s">
        <v>356</v>
      </c>
      <c r="D130" s="1329" t="s">
        <v>336</v>
      </c>
      <c r="E130" s="904"/>
      <c r="F130" s="1330">
        <v>2.0</v>
      </c>
      <c r="G130" s="1331" t="s">
        <v>73</v>
      </c>
      <c r="H130" s="158"/>
      <c r="I130" s="1332">
        <v>300000.0</v>
      </c>
      <c r="J130" s="1333"/>
      <c r="K130" s="1296">
        <f>I130*F130</f>
        <v>600000</v>
      </c>
      <c r="L130" s="1334">
        <f>SUM(K130:K132)</f>
        <v>2076000</v>
      </c>
      <c r="M130" s="510"/>
    </row>
    <row r="131">
      <c r="A131" s="33"/>
      <c r="B131" s="39"/>
      <c r="C131" s="73" t="s">
        <v>31</v>
      </c>
      <c r="D131" s="635" t="s">
        <v>43</v>
      </c>
      <c r="E131" s="636"/>
      <c r="F131" s="76">
        <v>4.0</v>
      </c>
      <c r="G131" s="1178" t="s">
        <v>73</v>
      </c>
      <c r="H131" s="1335"/>
      <c r="I131" s="1293"/>
      <c r="J131" s="1294"/>
      <c r="K131" s="1294"/>
      <c r="L131" s="98"/>
      <c r="M131" s="510"/>
    </row>
    <row r="132">
      <c r="A132" s="56"/>
      <c r="B132" s="57"/>
      <c r="C132" s="1050" t="s">
        <v>38</v>
      </c>
      <c r="D132" s="1051" t="s">
        <v>101</v>
      </c>
      <c r="E132" s="1055"/>
      <c r="F132" s="1054">
        <v>3.0</v>
      </c>
      <c r="G132" s="1305" t="s">
        <v>73</v>
      </c>
      <c r="H132" s="1336"/>
      <c r="I132" s="1307">
        <v>492000.0</v>
      </c>
      <c r="J132" s="1308"/>
      <c r="K132" s="1307">
        <f t="shared" ref="K132:K133" si="16">I132*F132</f>
        <v>1476000</v>
      </c>
      <c r="L132" s="110"/>
      <c r="M132" s="510"/>
    </row>
    <row r="133">
      <c r="A133" s="690" t="s">
        <v>26</v>
      </c>
      <c r="B133" s="1117" t="s">
        <v>357</v>
      </c>
      <c r="C133" s="1125" t="s">
        <v>27</v>
      </c>
      <c r="D133" s="1337" t="s">
        <v>49</v>
      </c>
      <c r="E133" s="1338" t="s">
        <v>358</v>
      </c>
      <c r="F133" s="1128">
        <v>4.0</v>
      </c>
      <c r="G133" s="1339" t="s">
        <v>30</v>
      </c>
      <c r="H133" s="1340"/>
      <c r="I133" s="1341">
        <v>230000.0</v>
      </c>
      <c r="J133" s="1304" t="s">
        <v>113</v>
      </c>
      <c r="K133" s="1341">
        <f t="shared" si="16"/>
        <v>920000</v>
      </c>
      <c r="L133" s="1292">
        <f>sum(K133:K136)</f>
        <v>3686000</v>
      </c>
      <c r="M133" s="510"/>
    </row>
    <row r="134">
      <c r="A134" s="33"/>
      <c r="B134" s="39"/>
      <c r="C134" s="1168" t="s">
        <v>40</v>
      </c>
      <c r="D134" s="640" t="s">
        <v>63</v>
      </c>
      <c r="E134" s="552"/>
      <c r="F134" s="639">
        <v>4.0</v>
      </c>
      <c r="G134" s="1170" t="s">
        <v>30</v>
      </c>
      <c r="H134" s="1342"/>
      <c r="I134" s="1293"/>
      <c r="J134" s="1294"/>
      <c r="K134" s="1294"/>
      <c r="L134" s="98"/>
      <c r="M134" s="510"/>
    </row>
    <row r="135">
      <c r="A135" s="33"/>
      <c r="B135" s="39"/>
      <c r="C135" s="903" t="s">
        <v>31</v>
      </c>
      <c r="D135" s="1343" t="s">
        <v>336</v>
      </c>
      <c r="E135" s="1344" t="s">
        <v>359</v>
      </c>
      <c r="F135" s="1330">
        <v>4.0</v>
      </c>
      <c r="G135" s="1345" t="s">
        <v>30</v>
      </c>
      <c r="H135" s="1346"/>
      <c r="I135" s="1296">
        <v>300000.0</v>
      </c>
      <c r="J135" s="1296">
        <v>30000.0</v>
      </c>
      <c r="K135" s="1296">
        <f>(I135*F135)+(J135*3)</f>
        <v>1290000</v>
      </c>
      <c r="L135" s="98"/>
      <c r="M135" s="510"/>
    </row>
    <row r="136">
      <c r="A136" s="56"/>
      <c r="B136" s="57"/>
      <c r="C136" s="1283" t="s">
        <v>38</v>
      </c>
      <c r="D136" s="1090" t="s">
        <v>339</v>
      </c>
      <c r="E136" s="1347"/>
      <c r="F136" s="1348">
        <v>3.0</v>
      </c>
      <c r="G136" s="1229" t="s">
        <v>30</v>
      </c>
      <c r="H136" s="1349"/>
      <c r="I136" s="1350">
        <v>492000.0</v>
      </c>
      <c r="J136" s="1351"/>
      <c r="K136" s="1350">
        <f>I136*F136</f>
        <v>1476000</v>
      </c>
      <c r="L136" s="110"/>
      <c r="M136" s="510"/>
    </row>
    <row r="137">
      <c r="A137" s="690" t="s">
        <v>41</v>
      </c>
      <c r="B137" s="1117" t="s">
        <v>360</v>
      </c>
      <c r="C137" s="21" t="s">
        <v>27</v>
      </c>
      <c r="D137" s="1352" t="s">
        <v>63</v>
      </c>
      <c r="E137" s="1353" t="s">
        <v>361</v>
      </c>
      <c r="F137" s="24">
        <v>4.0</v>
      </c>
      <c r="G137" s="1174" t="s">
        <v>73</v>
      </c>
      <c r="H137" s="1354"/>
      <c r="I137" s="1290"/>
      <c r="J137" s="1341">
        <v>30000.0</v>
      </c>
      <c r="K137" s="1341">
        <f>J137*2</f>
        <v>60000</v>
      </c>
      <c r="L137" s="1292">
        <f>sum(K137:K140)</f>
        <v>3504000</v>
      </c>
      <c r="M137" s="510"/>
    </row>
    <row r="138">
      <c r="A138" s="33"/>
      <c r="B138" s="39"/>
      <c r="C138" s="1089" t="s">
        <v>40</v>
      </c>
      <c r="D138" s="1355" t="s">
        <v>339</v>
      </c>
      <c r="E138" s="1094"/>
      <c r="F138" s="1093">
        <v>4.0</v>
      </c>
      <c r="G138" s="1356" t="s">
        <v>73</v>
      </c>
      <c r="H138" s="1357"/>
      <c r="I138" s="1358">
        <v>492000.0</v>
      </c>
      <c r="J138" s="1359"/>
      <c r="K138" s="1358">
        <f>I138*F138</f>
        <v>1968000</v>
      </c>
      <c r="L138" s="98"/>
      <c r="M138" s="510"/>
    </row>
    <row r="139">
      <c r="A139" s="33"/>
      <c r="B139" s="39"/>
      <c r="C139" s="73" t="s">
        <v>31</v>
      </c>
      <c r="D139" s="1360" t="s">
        <v>43</v>
      </c>
      <c r="E139" s="1361" t="s">
        <v>362</v>
      </c>
      <c r="F139" s="76">
        <v>4.0</v>
      </c>
      <c r="G139" s="1178" t="s">
        <v>73</v>
      </c>
      <c r="H139" s="1335"/>
      <c r="I139" s="1293"/>
      <c r="J139" s="1294"/>
      <c r="K139" s="1294"/>
      <c r="L139" s="98"/>
      <c r="M139" s="510"/>
    </row>
    <row r="140">
      <c r="A140" s="33"/>
      <c r="B140" s="39"/>
      <c r="C140" s="1209" t="s">
        <v>38</v>
      </c>
      <c r="D140" s="1362" t="s">
        <v>101</v>
      </c>
      <c r="E140" s="356"/>
      <c r="F140" s="1363">
        <v>3.0</v>
      </c>
      <c r="G140" s="1213" t="s">
        <v>73</v>
      </c>
      <c r="H140" s="1364"/>
      <c r="I140" s="1309">
        <v>492000.0</v>
      </c>
      <c r="J140" s="1365"/>
      <c r="K140" s="1309">
        <f t="shared" ref="K140:K143" si="17">I140*F140</f>
        <v>1476000</v>
      </c>
      <c r="L140" s="373"/>
      <c r="M140" s="510"/>
    </row>
    <row r="141">
      <c r="A141" s="33"/>
      <c r="B141" s="39"/>
      <c r="C141" s="1366" t="s">
        <v>54</v>
      </c>
      <c r="D141" s="1367" t="s">
        <v>336</v>
      </c>
      <c r="E141" s="1322" t="s">
        <v>363</v>
      </c>
      <c r="F141" s="781">
        <v>3.0</v>
      </c>
      <c r="G141" s="1368" t="s">
        <v>30</v>
      </c>
      <c r="H141" s="1324" t="s">
        <v>364</v>
      </c>
      <c r="I141" s="1369">
        <v>300000.0</v>
      </c>
      <c r="J141" s="1370"/>
      <c r="K141" s="1341">
        <f t="shared" si="17"/>
        <v>900000</v>
      </c>
      <c r="L141" s="1292">
        <f>sum(K141:K142)</f>
        <v>2376000</v>
      </c>
      <c r="M141" s="510"/>
    </row>
    <row r="142">
      <c r="A142" s="56"/>
      <c r="B142" s="57"/>
      <c r="C142" s="1225" t="s">
        <v>38</v>
      </c>
      <c r="D142" s="1371" t="s">
        <v>339</v>
      </c>
      <c r="E142" s="1347"/>
      <c r="F142" s="1348">
        <v>3.0</v>
      </c>
      <c r="G142" s="1229" t="s">
        <v>30</v>
      </c>
      <c r="H142" s="182"/>
      <c r="I142" s="1350">
        <v>492000.0</v>
      </c>
      <c r="J142" s="1351"/>
      <c r="K142" s="1350">
        <f t="shared" si="17"/>
        <v>1476000</v>
      </c>
      <c r="L142" s="110"/>
      <c r="M142" s="510"/>
    </row>
    <row r="143">
      <c r="A143" s="19" t="s">
        <v>45</v>
      </c>
      <c r="B143" s="1117" t="s">
        <v>365</v>
      </c>
      <c r="C143" s="1372" t="s">
        <v>27</v>
      </c>
      <c r="D143" s="1373" t="s">
        <v>39</v>
      </c>
      <c r="E143" s="1374" t="s">
        <v>366</v>
      </c>
      <c r="F143" s="1375">
        <v>4.0</v>
      </c>
      <c r="G143" s="1376" t="s">
        <v>73</v>
      </c>
      <c r="H143" s="1377"/>
      <c r="I143" s="1341">
        <v>150000.0</v>
      </c>
      <c r="J143" s="1378" t="s">
        <v>367</v>
      </c>
      <c r="K143" s="1332">
        <f t="shared" si="17"/>
        <v>600000</v>
      </c>
      <c r="L143" s="1292">
        <f>sum(K143:K146)</f>
        <v>3966000</v>
      </c>
      <c r="M143" s="510"/>
    </row>
    <row r="144">
      <c r="A144" s="33"/>
      <c r="B144" s="39"/>
      <c r="C144" s="52" t="s">
        <v>40</v>
      </c>
      <c r="D144" s="762" t="s">
        <v>36</v>
      </c>
      <c r="E144" s="1379" t="s">
        <v>368</v>
      </c>
      <c r="F144" s="763">
        <v>4.0</v>
      </c>
      <c r="G144" s="1282" t="s">
        <v>73</v>
      </c>
      <c r="H144" s="1240"/>
      <c r="I144" s="1296">
        <v>150000.0</v>
      </c>
      <c r="J144" s="1296">
        <v>30000.0</v>
      </c>
      <c r="K144" s="1296">
        <f>(I144*F144)+(J144*3)</f>
        <v>690000</v>
      </c>
      <c r="L144" s="98"/>
      <c r="M144" s="510"/>
    </row>
    <row r="145">
      <c r="A145" s="33"/>
      <c r="B145" s="39"/>
      <c r="C145" s="903" t="s">
        <v>31</v>
      </c>
      <c r="D145" s="632" t="s">
        <v>336</v>
      </c>
      <c r="E145" s="1361" t="s">
        <v>369</v>
      </c>
      <c r="F145" s="631">
        <v>4.0</v>
      </c>
      <c r="G145" s="1331" t="s">
        <v>73</v>
      </c>
      <c r="H145" s="306"/>
      <c r="I145" s="1296">
        <v>300000.0</v>
      </c>
      <c r="J145" s="1294"/>
      <c r="K145" s="1296">
        <f t="shared" ref="K145:K146" si="18">I145*F145</f>
        <v>1200000</v>
      </c>
      <c r="L145" s="98"/>
      <c r="M145" s="510"/>
    </row>
    <row r="146">
      <c r="A146" s="56"/>
      <c r="B146" s="57"/>
      <c r="C146" s="907" t="s">
        <v>38</v>
      </c>
      <c r="D146" s="1122" t="s">
        <v>101</v>
      </c>
      <c r="E146" s="80"/>
      <c r="F146" s="1124">
        <v>3.0</v>
      </c>
      <c r="G146" s="1380" t="s">
        <v>73</v>
      </c>
      <c r="H146" s="63"/>
      <c r="I146" s="1299">
        <v>492000.0</v>
      </c>
      <c r="J146" s="1300"/>
      <c r="K146" s="1299">
        <f t="shared" si="18"/>
        <v>1476000</v>
      </c>
      <c r="L146" s="110"/>
      <c r="M146" s="510"/>
    </row>
    <row r="147">
      <c r="I147" s="510"/>
      <c r="J147" s="510"/>
      <c r="K147" s="510"/>
      <c r="L147" s="510"/>
      <c r="M147" s="510"/>
    </row>
    <row r="148">
      <c r="A148" s="1033" t="s">
        <v>140</v>
      </c>
      <c r="I148" s="510"/>
      <c r="J148" s="510"/>
      <c r="K148" s="510"/>
      <c r="L148" s="510"/>
      <c r="M148" s="510"/>
    </row>
    <row r="149">
      <c r="I149" s="510"/>
      <c r="J149" s="510"/>
      <c r="K149" s="510"/>
      <c r="L149" s="510"/>
      <c r="M149" s="510"/>
    </row>
    <row r="150">
      <c r="A150" s="1381" t="s">
        <v>10</v>
      </c>
      <c r="B150" s="1381" t="s">
        <v>11</v>
      </c>
      <c r="C150" s="1382" t="s">
        <v>12</v>
      </c>
      <c r="D150" s="1382" t="s">
        <v>13</v>
      </c>
      <c r="E150" s="1382" t="s">
        <v>14</v>
      </c>
      <c r="F150" s="1383" t="s">
        <v>15</v>
      </c>
      <c r="G150" s="1382" t="s">
        <v>16</v>
      </c>
      <c r="H150" s="1382" t="s">
        <v>17</v>
      </c>
      <c r="I150" s="1383" t="s">
        <v>20</v>
      </c>
      <c r="J150" s="1383" t="s">
        <v>21</v>
      </c>
      <c r="K150" s="1383" t="s">
        <v>22</v>
      </c>
      <c r="L150" s="1383" t="s">
        <v>23</v>
      </c>
      <c r="M150" s="510"/>
    </row>
    <row r="151">
      <c r="A151" s="19" t="s">
        <v>55</v>
      </c>
      <c r="B151" s="1117" t="s">
        <v>370</v>
      </c>
      <c r="C151" s="21" t="s">
        <v>27</v>
      </c>
      <c r="D151" s="70" t="s">
        <v>28</v>
      </c>
      <c r="E151" s="1384" t="s">
        <v>371</v>
      </c>
      <c r="F151" s="24">
        <v>4.0</v>
      </c>
      <c r="G151" s="1133" t="s">
        <v>30</v>
      </c>
      <c r="H151" s="612"/>
      <c r="I151" s="1044"/>
      <c r="J151" s="1385" t="s">
        <v>372</v>
      </c>
      <c r="K151" s="1044"/>
      <c r="L151" s="1045">
        <f>SUM(K153:K154)</f>
        <v>3444000</v>
      </c>
      <c r="M151" s="510" t="s">
        <v>126</v>
      </c>
    </row>
    <row r="152">
      <c r="A152" s="33"/>
      <c r="B152" s="39"/>
      <c r="C152" s="1386" t="s">
        <v>40</v>
      </c>
      <c r="D152" s="1387" t="s">
        <v>43</v>
      </c>
      <c r="E152" s="356"/>
      <c r="F152" s="837">
        <v>4.0</v>
      </c>
      <c r="G152" s="861" t="s">
        <v>30</v>
      </c>
      <c r="H152" s="572"/>
      <c r="I152" s="583"/>
      <c r="J152" s="356"/>
      <c r="K152" s="583"/>
      <c r="L152" s="142"/>
      <c r="M152" s="510"/>
    </row>
    <row r="153">
      <c r="A153" s="33"/>
      <c r="B153" s="39"/>
      <c r="C153" s="951" t="s">
        <v>31</v>
      </c>
      <c r="D153" s="1388" t="s">
        <v>337</v>
      </c>
      <c r="E153" s="1165"/>
      <c r="F153" s="1120">
        <v>4.0</v>
      </c>
      <c r="G153" s="1166" t="s">
        <v>30</v>
      </c>
      <c r="H153" s="1165"/>
      <c r="I153" s="1389">
        <v>492000.0</v>
      </c>
      <c r="J153" s="1165"/>
      <c r="K153" s="1389">
        <f t="shared" ref="K153:K154" si="19">I153*F153</f>
        <v>1968000</v>
      </c>
      <c r="L153" s="142"/>
      <c r="M153" s="510"/>
    </row>
    <row r="154">
      <c r="A154" s="56"/>
      <c r="B154" s="57"/>
      <c r="C154" s="1283" t="s">
        <v>38</v>
      </c>
      <c r="D154" s="1390" t="s">
        <v>339</v>
      </c>
      <c r="E154" s="1227"/>
      <c r="F154" s="1348">
        <v>3.0</v>
      </c>
      <c r="G154" s="1229" t="s">
        <v>30</v>
      </c>
      <c r="H154" s="1227"/>
      <c r="I154" s="1391">
        <v>492000.0</v>
      </c>
      <c r="J154" s="1227"/>
      <c r="K154" s="1392">
        <f t="shared" si="19"/>
        <v>1476000</v>
      </c>
      <c r="L154" s="182"/>
      <c r="M154" s="510"/>
    </row>
    <row r="155">
      <c r="A155" s="19" t="s">
        <v>58</v>
      </c>
      <c r="B155" s="1117" t="s">
        <v>373</v>
      </c>
      <c r="C155" s="21" t="s">
        <v>27</v>
      </c>
      <c r="D155" s="70" t="s">
        <v>28</v>
      </c>
      <c r="E155" s="1393" t="s">
        <v>374</v>
      </c>
      <c r="F155" s="24">
        <v>4.0</v>
      </c>
      <c r="G155" s="1133" t="s">
        <v>30</v>
      </c>
      <c r="H155" s="612"/>
      <c r="I155" s="1044"/>
      <c r="J155" s="1394">
        <v>30000.0</v>
      </c>
      <c r="K155" s="1394">
        <f>J155*3</f>
        <v>90000</v>
      </c>
      <c r="L155" s="1045">
        <f>SUM(K155:K158)</f>
        <v>1566000</v>
      </c>
      <c r="M155" s="510"/>
    </row>
    <row r="156">
      <c r="A156" s="33"/>
      <c r="B156" s="39"/>
      <c r="C156" s="40" t="s">
        <v>40</v>
      </c>
      <c r="D156" s="1395" t="s">
        <v>33</v>
      </c>
      <c r="E156" s="42"/>
      <c r="F156" s="79">
        <v>4.0</v>
      </c>
      <c r="G156" s="1396" t="s">
        <v>30</v>
      </c>
      <c r="H156" s="572"/>
      <c r="I156" s="583"/>
      <c r="J156" s="583"/>
      <c r="K156" s="1397"/>
      <c r="L156" s="142"/>
      <c r="M156" s="510"/>
    </row>
    <row r="157">
      <c r="A157" s="33"/>
      <c r="B157" s="39"/>
      <c r="C157" s="73" t="s">
        <v>31</v>
      </c>
      <c r="D157" s="74" t="s">
        <v>43</v>
      </c>
      <c r="E157" s="75"/>
      <c r="F157" s="76">
        <v>4.0</v>
      </c>
      <c r="G157" s="1147" t="s">
        <v>30</v>
      </c>
      <c r="H157" s="572"/>
      <c r="I157" s="583"/>
      <c r="J157" s="583"/>
      <c r="K157" s="1397"/>
      <c r="L157" s="142"/>
      <c r="M157" s="510"/>
    </row>
    <row r="158">
      <c r="A158" s="33"/>
      <c r="B158" s="39"/>
      <c r="C158" s="1283" t="s">
        <v>38</v>
      </c>
      <c r="D158" s="1398" t="s">
        <v>339</v>
      </c>
      <c r="E158" s="1227"/>
      <c r="F158" s="1348">
        <v>3.0</v>
      </c>
      <c r="G158" s="1229" t="s">
        <v>30</v>
      </c>
      <c r="H158" s="1227"/>
      <c r="I158" s="1391">
        <v>492000.0</v>
      </c>
      <c r="J158" s="1227"/>
      <c r="K158" s="1391">
        <f t="shared" ref="K158:K160" si="20">I158*F158</f>
        <v>1476000</v>
      </c>
      <c r="L158" s="182"/>
      <c r="M158" s="510"/>
    </row>
    <row r="159">
      <c r="A159" s="33"/>
      <c r="B159" s="39"/>
      <c r="C159" s="1399" t="s">
        <v>54</v>
      </c>
      <c r="D159" s="1400" t="s">
        <v>39</v>
      </c>
      <c r="E159" s="1401" t="s">
        <v>363</v>
      </c>
      <c r="F159" s="1402">
        <v>3.0</v>
      </c>
      <c r="G159" s="1403" t="s">
        <v>73</v>
      </c>
      <c r="H159" s="1108" t="s">
        <v>364</v>
      </c>
      <c r="I159" s="1394">
        <v>150000.0</v>
      </c>
      <c r="J159" s="1044"/>
      <c r="K159" s="1404">
        <f t="shared" si="20"/>
        <v>450000</v>
      </c>
      <c r="L159" s="1045">
        <f>sum(K159:K160)</f>
        <v>1350000</v>
      </c>
      <c r="M159" s="510"/>
    </row>
    <row r="160">
      <c r="A160" s="56"/>
      <c r="B160" s="57"/>
      <c r="C160" s="1032" t="s">
        <v>38</v>
      </c>
      <c r="D160" s="1405" t="s">
        <v>280</v>
      </c>
      <c r="E160" s="1199"/>
      <c r="F160" s="1124">
        <v>3.0</v>
      </c>
      <c r="G160" s="1406" t="s">
        <v>73</v>
      </c>
      <c r="H160" s="80"/>
      <c r="I160" s="1407">
        <v>300000.0</v>
      </c>
      <c r="J160" s="1199"/>
      <c r="K160" s="1408">
        <f t="shared" si="20"/>
        <v>900000</v>
      </c>
      <c r="L160" s="182"/>
      <c r="M160" s="510"/>
    </row>
    <row r="161">
      <c r="A161" s="690" t="s">
        <v>62</v>
      </c>
      <c r="B161" s="1117" t="s">
        <v>375</v>
      </c>
      <c r="C161" s="92" t="s">
        <v>27</v>
      </c>
      <c r="D161" s="93" t="s">
        <v>33</v>
      </c>
      <c r="E161" s="1409" t="s">
        <v>366</v>
      </c>
      <c r="F161" s="95">
        <v>4.0</v>
      </c>
      <c r="G161" s="1410" t="s">
        <v>30</v>
      </c>
      <c r="H161" s="612"/>
      <c r="I161" s="1044"/>
      <c r="J161" s="1385" t="s">
        <v>372</v>
      </c>
      <c r="K161" s="1411"/>
      <c r="L161" s="1045">
        <f>sum(K163:K164)</f>
        <v>2076000</v>
      </c>
      <c r="M161" s="510"/>
    </row>
    <row r="162">
      <c r="A162" s="33"/>
      <c r="B162" s="39"/>
      <c r="C162" s="1386" t="s">
        <v>40</v>
      </c>
      <c r="D162" s="1387" t="s">
        <v>43</v>
      </c>
      <c r="E162" s="356"/>
      <c r="F162" s="837">
        <v>4.0</v>
      </c>
      <c r="G162" s="861" t="s">
        <v>30</v>
      </c>
      <c r="H162" s="572"/>
      <c r="I162" s="583"/>
      <c r="J162" s="356"/>
      <c r="K162" s="1397"/>
      <c r="L162" s="142"/>
      <c r="M162" s="510"/>
    </row>
    <row r="163">
      <c r="A163" s="33"/>
      <c r="B163" s="39"/>
      <c r="C163" s="1412" t="s">
        <v>31</v>
      </c>
      <c r="D163" s="1413" t="s">
        <v>39</v>
      </c>
      <c r="E163" s="1414"/>
      <c r="F163" s="1415">
        <v>4.0</v>
      </c>
      <c r="G163" s="1416" t="s">
        <v>30</v>
      </c>
      <c r="H163" s="572"/>
      <c r="I163" s="1417">
        <v>150000.0</v>
      </c>
      <c r="J163" s="583"/>
      <c r="K163" s="1417">
        <f t="shared" ref="K163:K164" si="21">I163*F163</f>
        <v>600000</v>
      </c>
      <c r="L163" s="142"/>
      <c r="M163" s="510"/>
    </row>
    <row r="164">
      <c r="A164" s="33"/>
      <c r="B164" s="39"/>
      <c r="C164" s="1283" t="s">
        <v>38</v>
      </c>
      <c r="D164" s="1418" t="s">
        <v>339</v>
      </c>
      <c r="E164" s="1227"/>
      <c r="F164" s="1348">
        <v>3.0</v>
      </c>
      <c r="G164" s="1229" t="s">
        <v>30</v>
      </c>
      <c r="H164" s="1227"/>
      <c r="I164" s="1391">
        <v>492000.0</v>
      </c>
      <c r="J164" s="1227"/>
      <c r="K164" s="1391">
        <f t="shared" si="21"/>
        <v>1476000</v>
      </c>
      <c r="L164" s="182"/>
      <c r="M164" s="510"/>
    </row>
    <row r="165">
      <c r="A165" s="33"/>
      <c r="B165" s="39"/>
      <c r="C165" s="1072" t="s">
        <v>144</v>
      </c>
      <c r="D165" s="70" t="s">
        <v>63</v>
      </c>
      <c r="E165" s="1289" t="s">
        <v>354</v>
      </c>
      <c r="F165" s="24">
        <v>4.0</v>
      </c>
      <c r="G165" s="1174" t="s">
        <v>73</v>
      </c>
      <c r="H165" s="1108" t="s">
        <v>355</v>
      </c>
      <c r="I165" s="1044"/>
      <c r="J165" s="1044"/>
      <c r="K165" s="1419"/>
      <c r="L165" s="1045">
        <f>K166</f>
        <v>984000</v>
      </c>
      <c r="M165" s="510"/>
    </row>
    <row r="166">
      <c r="A166" s="56"/>
      <c r="B166" s="57"/>
      <c r="C166" s="1197" t="s">
        <v>88</v>
      </c>
      <c r="D166" s="1420" t="s">
        <v>337</v>
      </c>
      <c r="E166" s="1052"/>
      <c r="F166" s="1054">
        <v>2.0</v>
      </c>
      <c r="G166" s="1305" t="s">
        <v>73</v>
      </c>
      <c r="H166" s="80"/>
      <c r="I166" s="1421">
        <v>492000.0</v>
      </c>
      <c r="J166" s="1052"/>
      <c r="K166" s="1422">
        <f>I166*F166</f>
        <v>984000</v>
      </c>
      <c r="L166" s="182"/>
      <c r="M166" s="510"/>
    </row>
    <row r="167">
      <c r="A167" s="19" t="s">
        <v>77</v>
      </c>
      <c r="B167" s="1117" t="s">
        <v>376</v>
      </c>
      <c r="C167" s="21" t="s">
        <v>27</v>
      </c>
      <c r="D167" s="1352" t="s">
        <v>63</v>
      </c>
      <c r="E167" s="1423" t="s">
        <v>377</v>
      </c>
      <c r="F167" s="24">
        <v>4.0</v>
      </c>
      <c r="G167" s="1133" t="s">
        <v>30</v>
      </c>
      <c r="H167" s="612"/>
      <c r="I167" s="1044"/>
      <c r="J167" s="1417">
        <v>30000.0</v>
      </c>
      <c r="K167" s="1424">
        <v>105.0</v>
      </c>
      <c r="L167" s="1045">
        <f>sum(K167:K171)</f>
        <v>2208105</v>
      </c>
      <c r="M167" s="510"/>
    </row>
    <row r="168">
      <c r="A168" s="33"/>
      <c r="B168" s="39"/>
      <c r="C168" s="1425" t="s">
        <v>40</v>
      </c>
      <c r="D168" s="1426" t="s">
        <v>339</v>
      </c>
      <c r="E168" s="583"/>
      <c r="F168" s="1330">
        <v>4.0</v>
      </c>
      <c r="G168" s="1236" t="s">
        <v>30</v>
      </c>
      <c r="H168" s="572"/>
      <c r="I168" s="1417">
        <v>492000.0</v>
      </c>
      <c r="J168" s="583"/>
      <c r="K168" s="1417">
        <f>I168*F168</f>
        <v>1968000</v>
      </c>
      <c r="L168" s="142"/>
      <c r="M168" s="510"/>
    </row>
    <row r="169">
      <c r="A169" s="33"/>
      <c r="B169" s="39"/>
      <c r="C169" s="1427" t="s">
        <v>378</v>
      </c>
      <c r="D169" s="1428" t="s">
        <v>39</v>
      </c>
      <c r="E169" s="1429"/>
      <c r="F169" s="1430">
        <v>1.6</v>
      </c>
      <c r="G169" s="1431" t="s">
        <v>30</v>
      </c>
      <c r="H169" s="572"/>
      <c r="I169" s="1417">
        <v>150000.0</v>
      </c>
      <c r="J169" s="583"/>
      <c r="K169" s="1417">
        <f>150000*F169</f>
        <v>240000</v>
      </c>
      <c r="L169" s="142"/>
      <c r="M169" s="510"/>
    </row>
    <row r="170">
      <c r="A170" s="33"/>
      <c r="B170" s="39"/>
      <c r="C170" s="1432" t="s">
        <v>379</v>
      </c>
      <c r="D170" s="1433" t="s">
        <v>43</v>
      </c>
      <c r="E170" s="1434"/>
      <c r="F170" s="1435" t="s">
        <v>380</v>
      </c>
      <c r="G170" s="1436" t="s">
        <v>30</v>
      </c>
      <c r="H170" s="572"/>
      <c r="I170" s="1397"/>
      <c r="J170" s="583"/>
      <c r="K170" s="1397"/>
      <c r="L170" s="142"/>
      <c r="M170" s="510"/>
    </row>
    <row r="171">
      <c r="A171" s="33"/>
      <c r="B171" s="39"/>
      <c r="C171" s="1437" t="s">
        <v>157</v>
      </c>
      <c r="D171" s="1438" t="s">
        <v>71</v>
      </c>
      <c r="E171" s="709"/>
      <c r="F171" s="793">
        <v>4.0</v>
      </c>
      <c r="G171" s="1439" t="s">
        <v>30</v>
      </c>
      <c r="H171" s="179"/>
      <c r="I171" s="1199"/>
      <c r="J171" s="1199"/>
      <c r="K171" s="1440"/>
      <c r="L171" s="182"/>
      <c r="M171" s="510"/>
    </row>
    <row r="172">
      <c r="A172" s="33"/>
      <c r="B172" s="39"/>
      <c r="C172" s="1441" t="s">
        <v>381</v>
      </c>
      <c r="D172" s="1433" t="s">
        <v>43</v>
      </c>
      <c r="E172" s="1442" t="s">
        <v>382</v>
      </c>
      <c r="F172" s="1443" t="s">
        <v>383</v>
      </c>
      <c r="G172" s="1444" t="s">
        <v>73</v>
      </c>
      <c r="H172" s="1108" t="s">
        <v>364</v>
      </c>
      <c r="I172" s="1419"/>
      <c r="J172" s="1419"/>
      <c r="K172" s="1419"/>
      <c r="L172" s="1445">
        <f>K173+K174</f>
        <v>1836000</v>
      </c>
      <c r="M172" s="510"/>
    </row>
    <row r="173">
      <c r="A173" s="33"/>
      <c r="B173" s="39"/>
      <c r="C173" s="1446" t="s">
        <v>384</v>
      </c>
      <c r="D173" s="1447" t="s">
        <v>39</v>
      </c>
      <c r="E173" s="356"/>
      <c r="F173" s="1430">
        <v>2.4</v>
      </c>
      <c r="G173" s="1448" t="s">
        <v>73</v>
      </c>
      <c r="H173" s="34"/>
      <c r="I173" s="1417">
        <v>150000.0</v>
      </c>
      <c r="J173" s="583"/>
      <c r="K173" s="1417">
        <f>I173*F173</f>
        <v>360000</v>
      </c>
      <c r="L173" s="142"/>
      <c r="M173" s="510"/>
    </row>
    <row r="174">
      <c r="A174" s="56"/>
      <c r="B174" s="57"/>
      <c r="C174" s="1449" t="s">
        <v>38</v>
      </c>
      <c r="D174" s="1450" t="s">
        <v>43</v>
      </c>
      <c r="E174" s="669" t="s">
        <v>337</v>
      </c>
      <c r="F174" s="1104">
        <v>3.0</v>
      </c>
      <c r="G174" s="1451" t="s">
        <v>73</v>
      </c>
      <c r="H174" s="80"/>
      <c r="I174" s="1199"/>
      <c r="J174" s="1407">
        <v>492000.0</v>
      </c>
      <c r="K174" s="1408">
        <f>J174*F174</f>
        <v>1476000</v>
      </c>
      <c r="L174" s="182"/>
      <c r="M174" s="510"/>
    </row>
    <row r="175">
      <c r="I175" s="510"/>
      <c r="J175" s="510"/>
      <c r="K175" s="510"/>
      <c r="L175" s="510"/>
      <c r="M175" s="510"/>
    </row>
    <row r="176">
      <c r="I176" s="510"/>
      <c r="J176" s="510"/>
      <c r="K176" s="510"/>
      <c r="L176" s="510"/>
      <c r="M176" s="510"/>
    </row>
    <row r="177">
      <c r="I177" s="510"/>
      <c r="J177" s="510"/>
      <c r="K177" s="510"/>
      <c r="L177" s="510"/>
      <c r="M177" s="510"/>
    </row>
    <row r="178">
      <c r="I178" s="510"/>
      <c r="J178" s="510"/>
      <c r="K178" s="510"/>
      <c r="L178" s="510"/>
      <c r="M178" s="510"/>
    </row>
    <row r="179">
      <c r="I179" s="510"/>
      <c r="J179" s="510"/>
      <c r="K179" s="510"/>
      <c r="L179" s="510"/>
      <c r="M179" s="510"/>
    </row>
    <row r="180">
      <c r="I180" s="510"/>
      <c r="J180" s="510"/>
      <c r="K180" s="510"/>
      <c r="L180" s="510"/>
      <c r="M180" s="510"/>
    </row>
    <row r="181">
      <c r="I181" s="510"/>
      <c r="J181" s="510"/>
      <c r="K181" s="510"/>
      <c r="L181" s="510"/>
      <c r="M181" s="510"/>
    </row>
    <row r="182">
      <c r="I182" s="510"/>
      <c r="J182" s="510"/>
      <c r="K182" s="510"/>
      <c r="L182" s="510"/>
      <c r="M182" s="510"/>
    </row>
    <row r="183">
      <c r="I183" s="510"/>
      <c r="J183" s="510"/>
      <c r="K183" s="510"/>
      <c r="L183" s="510"/>
      <c r="M183" s="510"/>
    </row>
    <row r="184">
      <c r="I184" s="510"/>
      <c r="J184" s="510"/>
      <c r="K184" s="510"/>
      <c r="L184" s="510"/>
      <c r="M184" s="510"/>
    </row>
    <row r="185">
      <c r="I185" s="510"/>
      <c r="J185" s="510"/>
      <c r="K185" s="510"/>
      <c r="L185" s="510"/>
      <c r="M185" s="510"/>
    </row>
    <row r="186">
      <c r="I186" s="510"/>
      <c r="J186" s="510"/>
      <c r="K186" s="510"/>
      <c r="L186" s="510"/>
      <c r="M186" s="510"/>
    </row>
    <row r="187">
      <c r="I187" s="510"/>
      <c r="J187" s="510"/>
      <c r="K187" s="510"/>
      <c r="L187" s="510"/>
      <c r="M187" s="510"/>
    </row>
    <row r="188">
      <c r="I188" s="510"/>
      <c r="J188" s="510"/>
      <c r="K188" s="510"/>
      <c r="L188" s="510"/>
      <c r="M188" s="510"/>
    </row>
    <row r="189">
      <c r="I189" s="510"/>
      <c r="J189" s="510"/>
      <c r="K189" s="510"/>
      <c r="L189" s="510"/>
      <c r="M189" s="510"/>
    </row>
    <row r="190">
      <c r="I190" s="510"/>
      <c r="J190" s="510"/>
      <c r="K190" s="510"/>
      <c r="L190" s="510"/>
      <c r="M190" s="510"/>
    </row>
    <row r="191">
      <c r="I191" s="510"/>
      <c r="J191" s="510"/>
      <c r="K191" s="510"/>
      <c r="L191" s="510"/>
      <c r="M191" s="510"/>
    </row>
    <row r="192">
      <c r="I192" s="510"/>
      <c r="J192" s="510"/>
      <c r="K192" s="510"/>
      <c r="L192" s="510"/>
      <c r="M192" s="510"/>
    </row>
    <row r="193">
      <c r="I193" s="510"/>
      <c r="J193" s="510"/>
      <c r="K193" s="510"/>
      <c r="L193" s="510"/>
      <c r="M193" s="510"/>
    </row>
    <row r="194">
      <c r="I194" s="510"/>
      <c r="J194" s="510"/>
      <c r="K194" s="510"/>
      <c r="L194" s="510"/>
      <c r="M194" s="510"/>
    </row>
    <row r="195">
      <c r="I195" s="510"/>
      <c r="J195" s="510"/>
      <c r="K195" s="510"/>
      <c r="L195" s="510"/>
      <c r="M195" s="510"/>
    </row>
    <row r="196">
      <c r="I196" s="510"/>
      <c r="J196" s="510"/>
      <c r="K196" s="510"/>
      <c r="L196" s="510"/>
      <c r="M196" s="510"/>
    </row>
    <row r="197">
      <c r="I197" s="510"/>
      <c r="J197" s="510"/>
      <c r="K197" s="510"/>
      <c r="L197" s="510"/>
      <c r="M197" s="510"/>
    </row>
    <row r="198">
      <c r="I198" s="510"/>
      <c r="J198" s="510"/>
      <c r="K198" s="510"/>
      <c r="L198" s="510"/>
      <c r="M198" s="510"/>
    </row>
    <row r="199">
      <c r="I199" s="510"/>
      <c r="J199" s="510"/>
      <c r="K199" s="510"/>
      <c r="L199" s="510"/>
      <c r="M199" s="510"/>
    </row>
    <row r="200">
      <c r="I200" s="510"/>
      <c r="J200" s="510"/>
      <c r="K200" s="510"/>
      <c r="L200" s="510"/>
      <c r="M200" s="510"/>
    </row>
    <row r="201">
      <c r="I201" s="510"/>
      <c r="J201" s="510"/>
      <c r="K201" s="510"/>
      <c r="L201" s="510"/>
      <c r="M201" s="510"/>
    </row>
    <row r="202">
      <c r="I202" s="510"/>
      <c r="J202" s="510"/>
      <c r="K202" s="510"/>
      <c r="L202" s="510"/>
      <c r="M202" s="510"/>
    </row>
    <row r="203">
      <c r="I203" s="510"/>
      <c r="J203" s="510"/>
      <c r="K203" s="510"/>
      <c r="L203" s="510"/>
      <c r="M203" s="510"/>
    </row>
    <row r="204">
      <c r="I204" s="510"/>
      <c r="J204" s="510"/>
      <c r="K204" s="510"/>
      <c r="L204" s="510"/>
      <c r="M204" s="510"/>
    </row>
    <row r="205">
      <c r="I205" s="510"/>
      <c r="J205" s="510"/>
      <c r="K205" s="510"/>
      <c r="L205" s="510"/>
      <c r="M205" s="510"/>
    </row>
    <row r="206">
      <c r="I206" s="510"/>
      <c r="J206" s="510"/>
      <c r="K206" s="510"/>
      <c r="L206" s="510"/>
      <c r="M206" s="510"/>
    </row>
    <row r="207">
      <c r="I207" s="510"/>
      <c r="J207" s="510"/>
      <c r="K207" s="510"/>
      <c r="L207" s="510"/>
      <c r="M207" s="510"/>
    </row>
    <row r="208">
      <c r="I208" s="510"/>
      <c r="J208" s="510"/>
      <c r="K208" s="510"/>
      <c r="L208" s="510"/>
      <c r="M208" s="510"/>
    </row>
    <row r="209">
      <c r="I209" s="510"/>
      <c r="J209" s="510"/>
      <c r="K209" s="510"/>
      <c r="L209" s="510"/>
      <c r="M209" s="510"/>
    </row>
    <row r="210">
      <c r="I210" s="510"/>
      <c r="J210" s="510"/>
      <c r="K210" s="510"/>
      <c r="L210" s="510"/>
      <c r="M210" s="510"/>
    </row>
    <row r="211">
      <c r="I211" s="510"/>
      <c r="J211" s="510"/>
      <c r="K211" s="510"/>
      <c r="L211" s="510"/>
      <c r="M211" s="510"/>
    </row>
    <row r="212">
      <c r="I212" s="510"/>
      <c r="J212" s="510"/>
      <c r="K212" s="510"/>
      <c r="L212" s="510"/>
      <c r="M212" s="510"/>
    </row>
    <row r="213">
      <c r="I213" s="510"/>
      <c r="J213" s="510"/>
      <c r="K213" s="510"/>
      <c r="L213" s="510"/>
      <c r="M213" s="510"/>
    </row>
    <row r="214">
      <c r="I214" s="510"/>
      <c r="J214" s="510"/>
      <c r="K214" s="510"/>
      <c r="L214" s="510"/>
      <c r="M214" s="510"/>
    </row>
    <row r="215">
      <c r="I215" s="510"/>
      <c r="J215" s="510"/>
      <c r="K215" s="510"/>
      <c r="L215" s="510"/>
      <c r="M215" s="510"/>
    </row>
    <row r="216">
      <c r="I216" s="510"/>
      <c r="J216" s="510"/>
      <c r="K216" s="510"/>
      <c r="L216" s="510"/>
      <c r="M216" s="510"/>
    </row>
    <row r="217">
      <c r="I217" s="510"/>
      <c r="J217" s="510"/>
      <c r="K217" s="510"/>
      <c r="L217" s="510"/>
      <c r="M217" s="510"/>
    </row>
    <row r="218">
      <c r="I218" s="510"/>
      <c r="J218" s="510"/>
      <c r="K218" s="510"/>
      <c r="L218" s="510"/>
      <c r="M218" s="510"/>
    </row>
    <row r="219">
      <c r="I219" s="510"/>
      <c r="J219" s="510"/>
      <c r="K219" s="510"/>
      <c r="L219" s="510"/>
      <c r="M219" s="510"/>
    </row>
    <row r="220">
      <c r="I220" s="510"/>
      <c r="J220" s="510"/>
      <c r="K220" s="510"/>
      <c r="L220" s="510"/>
      <c r="M220" s="510"/>
    </row>
    <row r="221">
      <c r="I221" s="510"/>
      <c r="J221" s="510"/>
      <c r="K221" s="510"/>
      <c r="L221" s="510"/>
      <c r="M221" s="510"/>
    </row>
    <row r="222">
      <c r="I222" s="510"/>
      <c r="J222" s="510"/>
      <c r="K222" s="510"/>
      <c r="L222" s="510"/>
      <c r="M222" s="510"/>
    </row>
    <row r="223">
      <c r="I223" s="510"/>
      <c r="J223" s="510"/>
      <c r="K223" s="510"/>
      <c r="L223" s="510"/>
      <c r="M223" s="510"/>
    </row>
    <row r="224">
      <c r="I224" s="510"/>
      <c r="J224" s="510"/>
      <c r="K224" s="510"/>
      <c r="L224" s="510"/>
      <c r="M224" s="510"/>
    </row>
    <row r="225">
      <c r="I225" s="510"/>
      <c r="J225" s="510"/>
      <c r="K225" s="510"/>
      <c r="L225" s="510"/>
      <c r="M225" s="510"/>
    </row>
    <row r="226">
      <c r="I226" s="510"/>
      <c r="J226" s="510"/>
      <c r="K226" s="510"/>
      <c r="L226" s="510"/>
      <c r="M226" s="510"/>
    </row>
    <row r="227">
      <c r="I227" s="510"/>
      <c r="J227" s="510"/>
      <c r="K227" s="510"/>
      <c r="L227" s="510"/>
      <c r="M227" s="510"/>
    </row>
    <row r="228">
      <c r="I228" s="510"/>
      <c r="J228" s="510"/>
      <c r="K228" s="510"/>
      <c r="L228" s="510"/>
      <c r="M228" s="510"/>
    </row>
    <row r="229">
      <c r="I229" s="510"/>
      <c r="J229" s="510"/>
      <c r="K229" s="510"/>
      <c r="L229" s="510"/>
      <c r="M229" s="510"/>
    </row>
    <row r="230">
      <c r="I230" s="510"/>
      <c r="J230" s="510"/>
      <c r="K230" s="510"/>
      <c r="L230" s="510"/>
      <c r="M230" s="510"/>
    </row>
    <row r="231">
      <c r="I231" s="510"/>
      <c r="J231" s="510"/>
      <c r="K231" s="510"/>
      <c r="L231" s="510"/>
      <c r="M231" s="510"/>
    </row>
    <row r="232">
      <c r="I232" s="510"/>
      <c r="J232" s="510"/>
      <c r="K232" s="510"/>
      <c r="L232" s="510"/>
      <c r="M232" s="510"/>
    </row>
    <row r="233">
      <c r="I233" s="510"/>
      <c r="J233" s="510"/>
      <c r="K233" s="510"/>
      <c r="L233" s="510"/>
      <c r="M233" s="510"/>
    </row>
    <row r="234">
      <c r="I234" s="510"/>
      <c r="J234" s="510"/>
      <c r="K234" s="510"/>
      <c r="L234" s="510"/>
      <c r="M234" s="510"/>
    </row>
    <row r="235">
      <c r="I235" s="510"/>
      <c r="J235" s="510"/>
      <c r="K235" s="510"/>
      <c r="L235" s="510"/>
      <c r="M235" s="510"/>
    </row>
    <row r="236">
      <c r="I236" s="510"/>
      <c r="J236" s="510"/>
      <c r="K236" s="510"/>
      <c r="L236" s="510"/>
      <c r="M236" s="510"/>
    </row>
    <row r="237">
      <c r="I237" s="510"/>
      <c r="J237" s="510"/>
      <c r="K237" s="510"/>
      <c r="L237" s="510"/>
      <c r="M237" s="510"/>
    </row>
    <row r="238">
      <c r="I238" s="510"/>
      <c r="J238" s="510"/>
      <c r="K238" s="510"/>
      <c r="L238" s="510"/>
      <c r="M238" s="510"/>
    </row>
    <row r="239">
      <c r="I239" s="510"/>
      <c r="J239" s="510"/>
      <c r="K239" s="510"/>
      <c r="L239" s="510"/>
      <c r="M239" s="510"/>
    </row>
    <row r="240">
      <c r="I240" s="510"/>
      <c r="J240" s="510"/>
      <c r="K240" s="510"/>
      <c r="L240" s="510"/>
      <c r="M240" s="510"/>
    </row>
    <row r="241">
      <c r="I241" s="510"/>
      <c r="J241" s="510"/>
      <c r="K241" s="510"/>
      <c r="L241" s="510"/>
      <c r="M241" s="510"/>
    </row>
    <row r="242">
      <c r="I242" s="510"/>
      <c r="J242" s="510"/>
      <c r="K242" s="510"/>
      <c r="L242" s="510"/>
      <c r="M242" s="510"/>
    </row>
    <row r="243">
      <c r="I243" s="510"/>
      <c r="J243" s="510"/>
      <c r="K243" s="510"/>
      <c r="L243" s="510"/>
      <c r="M243" s="510"/>
    </row>
    <row r="244">
      <c r="I244" s="510"/>
      <c r="J244" s="510"/>
      <c r="K244" s="510"/>
      <c r="L244" s="510"/>
      <c r="M244" s="510"/>
    </row>
    <row r="245">
      <c r="I245" s="510"/>
      <c r="J245" s="510"/>
      <c r="K245" s="510"/>
      <c r="L245" s="510"/>
      <c r="M245" s="510"/>
    </row>
    <row r="246">
      <c r="I246" s="510"/>
      <c r="J246" s="510"/>
      <c r="K246" s="510"/>
      <c r="L246" s="510"/>
      <c r="M246" s="510"/>
    </row>
    <row r="247">
      <c r="I247" s="510"/>
      <c r="J247" s="510"/>
      <c r="K247" s="510"/>
      <c r="L247" s="510"/>
      <c r="M247" s="510"/>
    </row>
    <row r="248">
      <c r="I248" s="510"/>
      <c r="J248" s="510"/>
      <c r="K248" s="510"/>
      <c r="L248" s="510"/>
      <c r="M248" s="510"/>
    </row>
    <row r="249">
      <c r="I249" s="510"/>
      <c r="J249" s="510"/>
      <c r="K249" s="510"/>
      <c r="L249" s="510"/>
      <c r="M249" s="510"/>
    </row>
    <row r="250">
      <c r="I250" s="510"/>
      <c r="J250" s="510"/>
      <c r="K250" s="510"/>
      <c r="L250" s="510"/>
      <c r="M250" s="510"/>
    </row>
    <row r="251">
      <c r="I251" s="510"/>
      <c r="J251" s="510"/>
      <c r="K251" s="510"/>
      <c r="L251" s="510"/>
      <c r="M251" s="510"/>
    </row>
    <row r="252">
      <c r="I252" s="510"/>
      <c r="J252" s="510"/>
      <c r="K252" s="510"/>
      <c r="L252" s="510"/>
      <c r="M252" s="510"/>
    </row>
    <row r="253">
      <c r="I253" s="510"/>
      <c r="J253" s="510"/>
      <c r="K253" s="510"/>
      <c r="L253" s="510"/>
      <c r="M253" s="510"/>
    </row>
    <row r="254">
      <c r="I254" s="510"/>
      <c r="J254" s="510"/>
      <c r="K254" s="510"/>
      <c r="L254" s="510"/>
      <c r="M254" s="510"/>
    </row>
    <row r="255">
      <c r="I255" s="510"/>
      <c r="J255" s="510"/>
      <c r="K255" s="510"/>
      <c r="L255" s="510"/>
      <c r="M255" s="510"/>
    </row>
    <row r="256">
      <c r="I256" s="510"/>
      <c r="J256" s="510"/>
      <c r="K256" s="510"/>
      <c r="L256" s="510"/>
      <c r="M256" s="510"/>
    </row>
    <row r="257">
      <c r="I257" s="510"/>
      <c r="J257" s="510"/>
      <c r="K257" s="510"/>
      <c r="L257" s="510"/>
      <c r="M257" s="510"/>
    </row>
    <row r="258">
      <c r="I258" s="510"/>
      <c r="J258" s="510"/>
      <c r="K258" s="510"/>
      <c r="L258" s="510"/>
      <c r="M258" s="510"/>
    </row>
    <row r="259">
      <c r="I259" s="510"/>
      <c r="J259" s="510"/>
      <c r="K259" s="510"/>
      <c r="L259" s="510"/>
      <c r="M259" s="510"/>
    </row>
    <row r="260">
      <c r="I260" s="510"/>
      <c r="J260" s="510"/>
      <c r="K260" s="510"/>
      <c r="L260" s="510"/>
      <c r="M260" s="510"/>
    </row>
    <row r="261">
      <c r="I261" s="510"/>
      <c r="J261" s="510"/>
      <c r="K261" s="510"/>
      <c r="L261" s="510"/>
      <c r="M261" s="510"/>
    </row>
    <row r="262">
      <c r="I262" s="510"/>
      <c r="J262" s="510"/>
      <c r="K262" s="510"/>
      <c r="L262" s="510"/>
      <c r="M262" s="510"/>
    </row>
    <row r="263">
      <c r="I263" s="510"/>
      <c r="J263" s="510"/>
      <c r="K263" s="510"/>
      <c r="L263" s="510"/>
      <c r="M263" s="510"/>
    </row>
    <row r="264">
      <c r="I264" s="510"/>
      <c r="J264" s="510"/>
      <c r="K264" s="510"/>
      <c r="L264" s="510"/>
      <c r="M264" s="510"/>
    </row>
    <row r="265">
      <c r="I265" s="510"/>
      <c r="J265" s="510"/>
      <c r="K265" s="510"/>
      <c r="L265" s="510"/>
      <c r="M265" s="510"/>
    </row>
    <row r="266">
      <c r="I266" s="510"/>
      <c r="J266" s="510"/>
      <c r="K266" s="510"/>
      <c r="L266" s="510"/>
      <c r="M266" s="510"/>
    </row>
    <row r="267">
      <c r="I267" s="510"/>
      <c r="J267" s="510"/>
      <c r="K267" s="510"/>
      <c r="L267" s="510"/>
      <c r="M267" s="510"/>
    </row>
    <row r="268">
      <c r="I268" s="510"/>
      <c r="J268" s="510"/>
      <c r="K268" s="510"/>
      <c r="L268" s="510"/>
      <c r="M268" s="510"/>
    </row>
    <row r="269">
      <c r="I269" s="510"/>
      <c r="J269" s="510"/>
      <c r="K269" s="510"/>
      <c r="L269" s="510"/>
      <c r="M269" s="510"/>
    </row>
    <row r="270">
      <c r="I270" s="510"/>
      <c r="J270" s="510"/>
      <c r="K270" s="510"/>
      <c r="L270" s="510"/>
      <c r="M270" s="510"/>
    </row>
    <row r="271">
      <c r="I271" s="510"/>
      <c r="J271" s="510"/>
      <c r="K271" s="510"/>
      <c r="L271" s="510"/>
      <c r="M271" s="510"/>
    </row>
    <row r="272">
      <c r="I272" s="510"/>
      <c r="J272" s="510"/>
      <c r="K272" s="510"/>
      <c r="L272" s="510"/>
      <c r="M272" s="510"/>
    </row>
    <row r="273">
      <c r="I273" s="510"/>
      <c r="J273" s="510"/>
      <c r="K273" s="510"/>
      <c r="L273" s="510"/>
      <c r="M273" s="510"/>
    </row>
    <row r="274">
      <c r="I274" s="510"/>
      <c r="J274" s="510"/>
      <c r="K274" s="510"/>
      <c r="L274" s="510"/>
      <c r="M274" s="510"/>
    </row>
    <row r="275">
      <c r="I275" s="510"/>
      <c r="J275" s="510"/>
      <c r="K275" s="510"/>
      <c r="L275" s="510"/>
      <c r="M275" s="510"/>
    </row>
    <row r="276">
      <c r="I276" s="510"/>
      <c r="J276" s="510"/>
      <c r="K276" s="510"/>
      <c r="L276" s="510"/>
      <c r="M276" s="510"/>
    </row>
    <row r="277">
      <c r="I277" s="510"/>
      <c r="J277" s="510"/>
      <c r="K277" s="510"/>
      <c r="L277" s="510"/>
      <c r="M277" s="510"/>
    </row>
    <row r="278">
      <c r="I278" s="510"/>
      <c r="J278" s="510"/>
      <c r="K278" s="510"/>
      <c r="L278" s="510"/>
      <c r="M278" s="510"/>
    </row>
    <row r="279">
      <c r="I279" s="510"/>
      <c r="J279" s="510"/>
      <c r="K279" s="510"/>
      <c r="L279" s="510"/>
      <c r="M279" s="510"/>
    </row>
    <row r="280">
      <c r="I280" s="510"/>
      <c r="J280" s="510"/>
      <c r="K280" s="510"/>
      <c r="L280" s="510"/>
      <c r="M280" s="510"/>
    </row>
    <row r="281">
      <c r="I281" s="510"/>
      <c r="J281" s="510"/>
      <c r="K281" s="510"/>
      <c r="L281" s="510"/>
      <c r="M281" s="510"/>
    </row>
    <row r="282">
      <c r="I282" s="510"/>
      <c r="J282" s="510"/>
      <c r="K282" s="510"/>
      <c r="L282" s="510"/>
      <c r="M282" s="510"/>
    </row>
    <row r="283">
      <c r="I283" s="510"/>
      <c r="J283" s="510"/>
      <c r="K283" s="510"/>
      <c r="L283" s="510"/>
      <c r="M283" s="510"/>
    </row>
    <row r="284">
      <c r="I284" s="510"/>
      <c r="J284" s="510"/>
      <c r="K284" s="510"/>
      <c r="L284" s="510"/>
      <c r="M284" s="510"/>
    </row>
    <row r="285">
      <c r="I285" s="510"/>
      <c r="J285" s="510"/>
      <c r="K285" s="510"/>
      <c r="L285" s="510"/>
      <c r="M285" s="510"/>
    </row>
    <row r="286">
      <c r="I286" s="510"/>
      <c r="J286" s="510"/>
      <c r="K286" s="510"/>
      <c r="L286" s="510"/>
      <c r="M286" s="510"/>
    </row>
    <row r="287">
      <c r="I287" s="510"/>
      <c r="J287" s="510"/>
      <c r="K287" s="510"/>
      <c r="L287" s="510"/>
      <c r="M287" s="510"/>
    </row>
    <row r="288">
      <c r="I288" s="510"/>
      <c r="J288" s="510"/>
      <c r="K288" s="510"/>
      <c r="L288" s="510"/>
      <c r="M288" s="510"/>
    </row>
    <row r="289">
      <c r="I289" s="510"/>
      <c r="J289" s="510"/>
      <c r="K289" s="510"/>
      <c r="L289" s="510"/>
      <c r="M289" s="510"/>
    </row>
    <row r="290">
      <c r="I290" s="510"/>
      <c r="J290" s="510"/>
      <c r="K290" s="510"/>
      <c r="L290" s="510"/>
      <c r="M290" s="510"/>
    </row>
    <row r="291">
      <c r="I291" s="510"/>
      <c r="J291" s="510"/>
      <c r="K291" s="510"/>
      <c r="L291" s="510"/>
      <c r="M291" s="510"/>
    </row>
    <row r="292">
      <c r="I292" s="510"/>
      <c r="J292" s="510"/>
      <c r="K292" s="510"/>
      <c r="L292" s="510"/>
      <c r="M292" s="510"/>
    </row>
    <row r="293">
      <c r="I293" s="510"/>
      <c r="J293" s="510"/>
      <c r="K293" s="510"/>
      <c r="L293" s="510"/>
      <c r="M293" s="510"/>
    </row>
    <row r="294">
      <c r="I294" s="510"/>
      <c r="J294" s="510"/>
      <c r="K294" s="510"/>
      <c r="L294" s="510"/>
      <c r="M294" s="510"/>
    </row>
    <row r="295">
      <c r="I295" s="510"/>
      <c r="J295" s="510"/>
      <c r="K295" s="510"/>
      <c r="L295" s="510"/>
      <c r="M295" s="510"/>
    </row>
    <row r="296">
      <c r="I296" s="510"/>
      <c r="J296" s="510"/>
      <c r="K296" s="510"/>
      <c r="L296" s="510"/>
      <c r="M296" s="510"/>
    </row>
    <row r="297">
      <c r="I297" s="510"/>
      <c r="J297" s="510"/>
      <c r="K297" s="510"/>
      <c r="L297" s="510"/>
      <c r="M297" s="510"/>
    </row>
    <row r="298">
      <c r="I298" s="510"/>
      <c r="J298" s="510"/>
      <c r="K298" s="510"/>
      <c r="L298" s="510"/>
      <c r="M298" s="510"/>
    </row>
    <row r="299">
      <c r="I299" s="510"/>
      <c r="J299" s="510"/>
      <c r="K299" s="510"/>
      <c r="L299" s="510"/>
      <c r="M299" s="510"/>
    </row>
    <row r="300">
      <c r="I300" s="510"/>
      <c r="J300" s="510"/>
      <c r="K300" s="510"/>
      <c r="L300" s="510"/>
      <c r="M300" s="510"/>
    </row>
    <row r="301">
      <c r="I301" s="510"/>
      <c r="J301" s="510"/>
      <c r="K301" s="510"/>
      <c r="L301" s="510"/>
      <c r="M301" s="510"/>
    </row>
    <row r="302">
      <c r="I302" s="510"/>
      <c r="J302" s="510"/>
      <c r="K302" s="510"/>
      <c r="L302" s="510"/>
      <c r="M302" s="510"/>
    </row>
    <row r="303">
      <c r="I303" s="510"/>
      <c r="J303" s="510"/>
      <c r="K303" s="510"/>
      <c r="L303" s="510"/>
      <c r="M303" s="510"/>
    </row>
    <row r="304">
      <c r="I304" s="510"/>
      <c r="J304" s="510"/>
      <c r="K304" s="510"/>
      <c r="L304" s="510"/>
      <c r="M304" s="510"/>
    </row>
    <row r="305">
      <c r="I305" s="510"/>
      <c r="J305" s="510"/>
      <c r="K305" s="510"/>
      <c r="L305" s="510"/>
      <c r="M305" s="510"/>
    </row>
    <row r="306">
      <c r="I306" s="510"/>
      <c r="J306" s="510"/>
      <c r="K306" s="510"/>
      <c r="L306" s="510"/>
      <c r="M306" s="510"/>
    </row>
    <row r="307">
      <c r="I307" s="510"/>
      <c r="J307" s="510"/>
      <c r="K307" s="510"/>
      <c r="L307" s="510"/>
      <c r="M307" s="510"/>
    </row>
    <row r="308">
      <c r="I308" s="510"/>
      <c r="J308" s="510"/>
      <c r="K308" s="510"/>
      <c r="L308" s="510"/>
      <c r="M308" s="510"/>
    </row>
    <row r="309">
      <c r="I309" s="510"/>
      <c r="J309" s="510"/>
      <c r="K309" s="510"/>
      <c r="L309" s="510"/>
      <c r="M309" s="510"/>
    </row>
    <row r="310">
      <c r="I310" s="510"/>
      <c r="J310" s="510"/>
      <c r="K310" s="510"/>
      <c r="L310" s="510"/>
      <c r="M310" s="510"/>
    </row>
    <row r="311">
      <c r="I311" s="510"/>
      <c r="J311" s="510"/>
      <c r="K311" s="510"/>
      <c r="L311" s="510"/>
      <c r="M311" s="510"/>
    </row>
    <row r="312">
      <c r="I312" s="510"/>
      <c r="J312" s="510"/>
      <c r="K312" s="510"/>
      <c r="L312" s="510"/>
      <c r="M312" s="510"/>
    </row>
    <row r="313">
      <c r="I313" s="510"/>
      <c r="J313" s="510"/>
      <c r="K313" s="510"/>
      <c r="L313" s="510"/>
      <c r="M313" s="510"/>
    </row>
    <row r="314">
      <c r="I314" s="510"/>
      <c r="J314" s="510"/>
      <c r="K314" s="510"/>
      <c r="L314" s="510"/>
      <c r="M314" s="510"/>
    </row>
    <row r="315">
      <c r="I315" s="510"/>
      <c r="J315" s="510"/>
      <c r="K315" s="510"/>
      <c r="L315" s="510"/>
      <c r="M315" s="510"/>
    </row>
    <row r="316">
      <c r="I316" s="510"/>
      <c r="J316" s="510"/>
      <c r="K316" s="510"/>
      <c r="L316" s="510"/>
      <c r="M316" s="510"/>
    </row>
    <row r="317">
      <c r="I317" s="510"/>
      <c r="J317" s="510"/>
      <c r="K317" s="510"/>
      <c r="L317" s="510"/>
      <c r="M317" s="510"/>
    </row>
    <row r="318">
      <c r="I318" s="510"/>
      <c r="J318" s="510"/>
      <c r="K318" s="510"/>
      <c r="L318" s="510"/>
      <c r="M318" s="510"/>
    </row>
    <row r="319">
      <c r="I319" s="510"/>
      <c r="J319" s="510"/>
      <c r="K319" s="510"/>
      <c r="L319" s="510"/>
      <c r="M319" s="510"/>
    </row>
    <row r="320">
      <c r="I320" s="510"/>
      <c r="J320" s="510"/>
      <c r="K320" s="510"/>
      <c r="L320" s="510"/>
      <c r="M320" s="510"/>
    </row>
    <row r="321">
      <c r="I321" s="510"/>
      <c r="J321" s="510"/>
      <c r="K321" s="510"/>
      <c r="L321" s="510"/>
      <c r="M321" s="510"/>
    </row>
    <row r="322">
      <c r="I322" s="510"/>
      <c r="J322" s="510"/>
      <c r="K322" s="510"/>
      <c r="L322" s="510"/>
      <c r="M322" s="510"/>
    </row>
    <row r="323">
      <c r="I323" s="510"/>
      <c r="J323" s="510"/>
      <c r="K323" s="510"/>
      <c r="L323" s="510"/>
      <c r="M323" s="510"/>
    </row>
    <row r="324">
      <c r="I324" s="510"/>
      <c r="J324" s="510"/>
      <c r="K324" s="510"/>
      <c r="L324" s="510"/>
      <c r="M324" s="510"/>
    </row>
    <row r="325">
      <c r="I325" s="510"/>
      <c r="J325" s="510"/>
      <c r="K325" s="510"/>
      <c r="L325" s="510"/>
      <c r="M325" s="510"/>
    </row>
    <row r="326">
      <c r="I326" s="510"/>
      <c r="J326" s="510"/>
      <c r="K326" s="510"/>
      <c r="L326" s="510"/>
      <c r="M326" s="510"/>
    </row>
    <row r="327">
      <c r="I327" s="510"/>
      <c r="J327" s="510"/>
      <c r="K327" s="510"/>
      <c r="L327" s="510"/>
      <c r="M327" s="510"/>
    </row>
    <row r="328">
      <c r="I328" s="510"/>
      <c r="J328" s="510"/>
      <c r="K328" s="510"/>
      <c r="L328" s="510"/>
      <c r="M328" s="510"/>
    </row>
    <row r="329">
      <c r="I329" s="510"/>
      <c r="J329" s="510"/>
      <c r="K329" s="510"/>
      <c r="L329" s="510"/>
      <c r="M329" s="510"/>
    </row>
    <row r="330">
      <c r="I330" s="510"/>
      <c r="J330" s="510"/>
      <c r="K330" s="510"/>
      <c r="L330" s="510"/>
      <c r="M330" s="510"/>
    </row>
    <row r="331">
      <c r="I331" s="510"/>
      <c r="J331" s="510"/>
      <c r="K331" s="510"/>
      <c r="L331" s="510"/>
      <c r="M331" s="510"/>
    </row>
    <row r="332">
      <c r="I332" s="510"/>
      <c r="J332" s="510"/>
      <c r="K332" s="510"/>
      <c r="L332" s="510"/>
      <c r="M332" s="510"/>
    </row>
    <row r="333">
      <c r="I333" s="510"/>
      <c r="J333" s="510"/>
      <c r="K333" s="510"/>
      <c r="L333" s="510"/>
      <c r="M333" s="510"/>
    </row>
    <row r="334">
      <c r="I334" s="510"/>
      <c r="J334" s="510"/>
      <c r="K334" s="510"/>
      <c r="L334" s="510"/>
      <c r="M334" s="510"/>
    </row>
    <row r="335">
      <c r="I335" s="510"/>
      <c r="J335" s="510"/>
      <c r="K335" s="510"/>
      <c r="L335" s="510"/>
      <c r="M335" s="510"/>
    </row>
    <row r="336">
      <c r="I336" s="510"/>
      <c r="J336" s="510"/>
      <c r="K336" s="510"/>
      <c r="L336" s="510"/>
      <c r="M336" s="510"/>
    </row>
    <row r="337">
      <c r="I337" s="510"/>
      <c r="J337" s="510"/>
      <c r="K337" s="510"/>
      <c r="L337" s="510"/>
      <c r="M337" s="510"/>
    </row>
    <row r="338">
      <c r="I338" s="510"/>
      <c r="J338" s="510"/>
      <c r="K338" s="510"/>
      <c r="L338" s="510"/>
      <c r="M338" s="510"/>
    </row>
    <row r="339">
      <c r="I339" s="510"/>
      <c r="J339" s="510"/>
      <c r="K339" s="510"/>
      <c r="L339" s="510"/>
      <c r="M339" s="510"/>
    </row>
    <row r="340">
      <c r="I340" s="510"/>
      <c r="J340" s="510"/>
      <c r="K340" s="510"/>
      <c r="L340" s="510"/>
      <c r="M340" s="510"/>
    </row>
    <row r="341">
      <c r="I341" s="510"/>
      <c r="J341" s="510"/>
      <c r="K341" s="510"/>
      <c r="L341" s="510"/>
      <c r="M341" s="510"/>
    </row>
    <row r="342">
      <c r="I342" s="510"/>
      <c r="J342" s="510"/>
      <c r="K342" s="510"/>
      <c r="L342" s="510"/>
      <c r="M342" s="510"/>
    </row>
    <row r="343">
      <c r="I343" s="510"/>
      <c r="J343" s="510"/>
      <c r="K343" s="510"/>
      <c r="L343" s="510"/>
      <c r="M343" s="510"/>
    </row>
    <row r="344">
      <c r="I344" s="510"/>
      <c r="J344" s="510"/>
      <c r="K344" s="510"/>
      <c r="L344" s="510"/>
      <c r="M344" s="510"/>
    </row>
    <row r="345">
      <c r="I345" s="510"/>
      <c r="J345" s="510"/>
      <c r="K345" s="510"/>
      <c r="L345" s="510"/>
      <c r="M345" s="510"/>
    </row>
    <row r="346">
      <c r="I346" s="510"/>
      <c r="J346" s="510"/>
      <c r="K346" s="510"/>
      <c r="L346" s="510"/>
      <c r="M346" s="510"/>
    </row>
    <row r="347">
      <c r="I347" s="510"/>
      <c r="J347" s="510"/>
      <c r="K347" s="510"/>
      <c r="L347" s="510"/>
      <c r="M347" s="510"/>
    </row>
    <row r="348">
      <c r="I348" s="510"/>
      <c r="J348" s="510"/>
      <c r="K348" s="510"/>
      <c r="L348" s="510"/>
      <c r="M348" s="510"/>
    </row>
    <row r="349">
      <c r="I349" s="510"/>
      <c r="J349" s="510"/>
      <c r="K349" s="510"/>
      <c r="L349" s="510"/>
      <c r="M349" s="510"/>
    </row>
    <row r="350">
      <c r="I350" s="510"/>
      <c r="J350" s="510"/>
      <c r="K350" s="510"/>
      <c r="L350" s="510"/>
      <c r="M350" s="510"/>
    </row>
    <row r="351">
      <c r="I351" s="510"/>
      <c r="J351" s="510"/>
      <c r="K351" s="510"/>
      <c r="L351" s="510"/>
      <c r="M351" s="510"/>
    </row>
    <row r="352">
      <c r="I352" s="510"/>
      <c r="J352" s="510"/>
      <c r="K352" s="510"/>
      <c r="L352" s="510"/>
      <c r="M352" s="510"/>
    </row>
    <row r="353">
      <c r="I353" s="510"/>
      <c r="J353" s="510"/>
      <c r="K353" s="510"/>
      <c r="L353" s="510"/>
      <c r="M353" s="510"/>
    </row>
    <row r="354">
      <c r="I354" s="510"/>
      <c r="J354" s="510"/>
      <c r="K354" s="510"/>
      <c r="L354" s="510"/>
      <c r="M354" s="510"/>
    </row>
    <row r="355">
      <c r="I355" s="510"/>
      <c r="J355" s="510"/>
      <c r="K355" s="510"/>
      <c r="L355" s="510"/>
      <c r="M355" s="510"/>
    </row>
    <row r="356">
      <c r="I356" s="510"/>
      <c r="J356" s="510"/>
      <c r="K356" s="510"/>
      <c r="L356" s="510"/>
      <c r="M356" s="510"/>
    </row>
    <row r="357">
      <c r="I357" s="510"/>
      <c r="J357" s="510"/>
      <c r="K357" s="510"/>
      <c r="L357" s="510"/>
      <c r="M357" s="510"/>
    </row>
    <row r="358">
      <c r="I358" s="510"/>
      <c r="J358" s="510"/>
      <c r="K358" s="510"/>
      <c r="L358" s="510"/>
      <c r="M358" s="510"/>
    </row>
    <row r="359">
      <c r="I359" s="510"/>
      <c r="J359" s="510"/>
      <c r="K359" s="510"/>
      <c r="L359" s="510"/>
      <c r="M359" s="510"/>
    </row>
    <row r="360">
      <c r="I360" s="510"/>
      <c r="J360" s="510"/>
      <c r="K360" s="510"/>
      <c r="L360" s="510"/>
      <c r="M360" s="510"/>
    </row>
    <row r="361">
      <c r="I361" s="510"/>
      <c r="J361" s="510"/>
      <c r="K361" s="510"/>
      <c r="L361" s="510"/>
      <c r="M361" s="510"/>
    </row>
    <row r="362">
      <c r="I362" s="510"/>
      <c r="J362" s="510"/>
      <c r="K362" s="510"/>
      <c r="L362" s="510"/>
      <c r="M362" s="510"/>
    </row>
    <row r="363">
      <c r="I363" s="510"/>
      <c r="J363" s="510"/>
      <c r="K363" s="510"/>
      <c r="L363" s="510"/>
      <c r="M363" s="510"/>
    </row>
    <row r="364">
      <c r="I364" s="510"/>
      <c r="J364" s="510"/>
      <c r="K364" s="510"/>
      <c r="L364" s="510"/>
      <c r="M364" s="510"/>
    </row>
    <row r="365">
      <c r="I365" s="510"/>
      <c r="J365" s="510"/>
      <c r="K365" s="510"/>
      <c r="L365" s="510"/>
      <c r="M365" s="510"/>
    </row>
    <row r="366">
      <c r="I366" s="510"/>
      <c r="J366" s="510"/>
      <c r="K366" s="510"/>
      <c r="L366" s="510"/>
      <c r="M366" s="510"/>
    </row>
    <row r="367">
      <c r="I367" s="510"/>
      <c r="J367" s="510"/>
      <c r="K367" s="510"/>
      <c r="L367" s="510"/>
      <c r="M367" s="510"/>
    </row>
    <row r="368">
      <c r="I368" s="510"/>
      <c r="J368" s="510"/>
      <c r="K368" s="510"/>
      <c r="L368" s="510"/>
      <c r="M368" s="510"/>
    </row>
    <row r="369">
      <c r="I369" s="510"/>
      <c r="J369" s="510"/>
      <c r="K369" s="510"/>
      <c r="L369" s="510"/>
      <c r="M369" s="510"/>
    </row>
    <row r="370">
      <c r="I370" s="510"/>
      <c r="J370" s="510"/>
      <c r="K370" s="510"/>
      <c r="L370" s="510"/>
      <c r="M370" s="510"/>
    </row>
    <row r="371">
      <c r="I371" s="510"/>
      <c r="J371" s="510"/>
      <c r="K371" s="510"/>
      <c r="L371" s="510"/>
      <c r="M371" s="510"/>
    </row>
    <row r="372">
      <c r="I372" s="510"/>
      <c r="J372" s="510"/>
      <c r="K372" s="510"/>
      <c r="L372" s="510"/>
      <c r="M372" s="510"/>
    </row>
    <row r="373">
      <c r="I373" s="510"/>
      <c r="J373" s="510"/>
      <c r="K373" s="510"/>
      <c r="L373" s="510"/>
      <c r="M373" s="510"/>
    </row>
    <row r="374">
      <c r="I374" s="510"/>
      <c r="J374" s="510"/>
      <c r="K374" s="510"/>
      <c r="L374" s="510"/>
      <c r="M374" s="510"/>
    </row>
    <row r="375">
      <c r="I375" s="510"/>
      <c r="J375" s="510"/>
      <c r="K375" s="510"/>
      <c r="L375" s="510"/>
      <c r="M375" s="510"/>
    </row>
    <row r="376">
      <c r="I376" s="510"/>
      <c r="J376" s="510"/>
      <c r="K376" s="510"/>
      <c r="L376" s="510"/>
      <c r="M376" s="510"/>
    </row>
    <row r="377">
      <c r="I377" s="510"/>
      <c r="J377" s="510"/>
      <c r="K377" s="510"/>
      <c r="L377" s="510"/>
      <c r="M377" s="510"/>
    </row>
    <row r="378">
      <c r="I378" s="510"/>
      <c r="J378" s="510"/>
      <c r="K378" s="510"/>
      <c r="L378" s="510"/>
      <c r="M378" s="510"/>
    </row>
    <row r="379">
      <c r="I379" s="510"/>
      <c r="J379" s="510"/>
      <c r="K379" s="510"/>
      <c r="L379" s="510"/>
      <c r="M379" s="510"/>
    </row>
    <row r="380">
      <c r="I380" s="510"/>
      <c r="J380" s="510"/>
      <c r="K380" s="510"/>
      <c r="L380" s="510"/>
      <c r="M380" s="510"/>
    </row>
    <row r="381">
      <c r="I381" s="510"/>
      <c r="J381" s="510"/>
      <c r="K381" s="510"/>
      <c r="L381" s="510"/>
      <c r="M381" s="510"/>
    </row>
    <row r="382">
      <c r="I382" s="510"/>
      <c r="J382" s="510"/>
      <c r="K382" s="510"/>
      <c r="L382" s="510"/>
      <c r="M382" s="510"/>
    </row>
    <row r="383">
      <c r="I383" s="510"/>
      <c r="J383" s="510"/>
      <c r="K383" s="510"/>
      <c r="L383" s="510"/>
      <c r="M383" s="510"/>
    </row>
    <row r="384">
      <c r="I384" s="510"/>
      <c r="J384" s="510"/>
      <c r="K384" s="510"/>
      <c r="L384" s="510"/>
      <c r="M384" s="510"/>
    </row>
    <row r="385">
      <c r="I385" s="510"/>
      <c r="J385" s="510"/>
      <c r="K385" s="510"/>
      <c r="L385" s="510"/>
      <c r="M385" s="510"/>
    </row>
    <row r="386">
      <c r="I386" s="510"/>
      <c r="J386" s="510"/>
      <c r="K386" s="510"/>
      <c r="L386" s="510"/>
      <c r="M386" s="510"/>
    </row>
    <row r="387">
      <c r="I387" s="510"/>
      <c r="J387" s="510"/>
      <c r="K387" s="510"/>
      <c r="L387" s="510"/>
      <c r="M387" s="510"/>
    </row>
    <row r="388">
      <c r="I388" s="510"/>
      <c r="J388" s="510"/>
      <c r="K388" s="510"/>
      <c r="L388" s="510"/>
      <c r="M388" s="510"/>
    </row>
    <row r="389">
      <c r="I389" s="510"/>
      <c r="J389" s="510"/>
      <c r="K389" s="510"/>
      <c r="L389" s="510"/>
      <c r="M389" s="510"/>
    </row>
    <row r="390">
      <c r="I390" s="510"/>
      <c r="J390" s="510"/>
      <c r="K390" s="510"/>
      <c r="L390" s="510"/>
      <c r="M390" s="510"/>
    </row>
    <row r="391">
      <c r="I391" s="510"/>
      <c r="J391" s="510"/>
      <c r="K391" s="510"/>
      <c r="L391" s="510"/>
      <c r="M391" s="510"/>
    </row>
    <row r="392">
      <c r="I392" s="510"/>
      <c r="J392" s="510"/>
      <c r="K392" s="510"/>
      <c r="L392" s="510"/>
      <c r="M392" s="510"/>
    </row>
    <row r="393">
      <c r="I393" s="510"/>
      <c r="J393" s="510"/>
      <c r="K393" s="510"/>
      <c r="L393" s="510"/>
      <c r="M393" s="510"/>
    </row>
    <row r="394">
      <c r="I394" s="510"/>
      <c r="J394" s="510"/>
      <c r="K394" s="510"/>
      <c r="L394" s="510"/>
      <c r="M394" s="510"/>
    </row>
    <row r="395">
      <c r="I395" s="510"/>
      <c r="J395" s="510"/>
      <c r="K395" s="510"/>
      <c r="L395" s="510"/>
      <c r="M395" s="510"/>
    </row>
    <row r="396">
      <c r="I396" s="510"/>
      <c r="J396" s="510"/>
      <c r="K396" s="510"/>
      <c r="L396" s="510"/>
      <c r="M396" s="510"/>
    </row>
    <row r="397">
      <c r="I397" s="510"/>
      <c r="J397" s="510"/>
      <c r="K397" s="510"/>
      <c r="L397" s="510"/>
      <c r="M397" s="510"/>
    </row>
    <row r="398">
      <c r="I398" s="510"/>
      <c r="J398" s="510"/>
      <c r="K398" s="510"/>
      <c r="L398" s="510"/>
      <c r="M398" s="510"/>
    </row>
    <row r="399">
      <c r="I399" s="510"/>
      <c r="J399" s="510"/>
      <c r="K399" s="510"/>
      <c r="L399" s="510"/>
      <c r="M399" s="510"/>
    </row>
    <row r="400">
      <c r="I400" s="510"/>
      <c r="J400" s="510"/>
      <c r="K400" s="510"/>
      <c r="L400" s="510"/>
      <c r="M400" s="510"/>
    </row>
    <row r="401">
      <c r="I401" s="510"/>
      <c r="J401" s="510"/>
      <c r="K401" s="510"/>
      <c r="L401" s="510"/>
      <c r="M401" s="510"/>
    </row>
    <row r="402">
      <c r="I402" s="510"/>
      <c r="J402" s="510"/>
      <c r="K402" s="510"/>
      <c r="L402" s="510"/>
      <c r="M402" s="510"/>
    </row>
    <row r="403">
      <c r="I403" s="510"/>
      <c r="J403" s="510"/>
      <c r="K403" s="510"/>
      <c r="L403" s="510"/>
      <c r="M403" s="510"/>
    </row>
    <row r="404">
      <c r="I404" s="510"/>
      <c r="J404" s="510"/>
      <c r="K404" s="510"/>
      <c r="L404" s="510"/>
      <c r="M404" s="510"/>
    </row>
    <row r="405">
      <c r="I405" s="510"/>
      <c r="J405" s="510"/>
      <c r="K405" s="510"/>
      <c r="L405" s="510"/>
      <c r="M405" s="510"/>
    </row>
    <row r="406">
      <c r="I406" s="510"/>
      <c r="J406" s="510"/>
      <c r="K406" s="510"/>
      <c r="L406" s="510"/>
      <c r="M406" s="510"/>
    </row>
    <row r="407">
      <c r="I407" s="510"/>
      <c r="J407" s="510"/>
      <c r="K407" s="510"/>
      <c r="L407" s="510"/>
      <c r="M407" s="510"/>
    </row>
    <row r="408">
      <c r="I408" s="510"/>
      <c r="J408" s="510"/>
      <c r="K408" s="510"/>
      <c r="L408" s="510"/>
      <c r="M408" s="510"/>
    </row>
    <row r="409">
      <c r="I409" s="510"/>
      <c r="J409" s="510"/>
      <c r="K409" s="510"/>
      <c r="L409" s="510"/>
      <c r="M409" s="510"/>
    </row>
    <row r="410">
      <c r="I410" s="510"/>
      <c r="J410" s="510"/>
      <c r="K410" s="510"/>
      <c r="L410" s="510"/>
      <c r="M410" s="510"/>
    </row>
    <row r="411">
      <c r="I411" s="510"/>
      <c r="J411" s="510"/>
      <c r="K411" s="510"/>
      <c r="L411" s="510"/>
      <c r="M411" s="510"/>
    </row>
    <row r="412">
      <c r="I412" s="510"/>
      <c r="J412" s="510"/>
      <c r="K412" s="510"/>
      <c r="L412" s="510"/>
      <c r="M412" s="510"/>
    </row>
    <row r="413">
      <c r="I413" s="510"/>
      <c r="J413" s="510"/>
      <c r="K413" s="510"/>
      <c r="L413" s="510"/>
      <c r="M413" s="510"/>
    </row>
    <row r="414">
      <c r="I414" s="510"/>
      <c r="J414" s="510"/>
      <c r="K414" s="510"/>
      <c r="L414" s="510"/>
      <c r="M414" s="510"/>
    </row>
    <row r="415">
      <c r="I415" s="510"/>
      <c r="J415" s="510"/>
      <c r="K415" s="510"/>
      <c r="L415" s="510"/>
      <c r="M415" s="510"/>
    </row>
    <row r="416">
      <c r="I416" s="510"/>
      <c r="J416" s="510"/>
      <c r="K416" s="510"/>
      <c r="L416" s="510"/>
      <c r="M416" s="510"/>
    </row>
    <row r="417">
      <c r="I417" s="510"/>
      <c r="J417" s="510"/>
      <c r="K417" s="510"/>
      <c r="L417" s="510"/>
      <c r="M417" s="510"/>
    </row>
    <row r="418">
      <c r="I418" s="510"/>
      <c r="J418" s="510"/>
      <c r="K418" s="510"/>
      <c r="L418" s="510"/>
      <c r="M418" s="510"/>
    </row>
    <row r="419">
      <c r="I419" s="510"/>
      <c r="J419" s="510"/>
      <c r="K419" s="510"/>
      <c r="L419" s="510"/>
      <c r="M419" s="510"/>
    </row>
    <row r="420">
      <c r="I420" s="510"/>
      <c r="J420" s="510"/>
      <c r="K420" s="510"/>
      <c r="L420" s="510"/>
      <c r="M420" s="510"/>
    </row>
    <row r="421">
      <c r="I421" s="510"/>
      <c r="J421" s="510"/>
      <c r="K421" s="510"/>
      <c r="L421" s="510"/>
      <c r="M421" s="510"/>
    </row>
    <row r="422">
      <c r="I422" s="510"/>
      <c r="J422" s="510"/>
      <c r="K422" s="510"/>
      <c r="L422" s="510"/>
      <c r="M422" s="510"/>
    </row>
    <row r="423">
      <c r="I423" s="510"/>
      <c r="J423" s="510"/>
      <c r="K423" s="510"/>
      <c r="L423" s="510"/>
      <c r="M423" s="510"/>
    </row>
    <row r="424">
      <c r="I424" s="510"/>
      <c r="J424" s="510"/>
      <c r="K424" s="510"/>
      <c r="L424" s="510"/>
      <c r="M424" s="510"/>
    </row>
    <row r="425">
      <c r="I425" s="510"/>
      <c r="J425" s="510"/>
      <c r="K425" s="510"/>
      <c r="L425" s="510"/>
      <c r="M425" s="510"/>
    </row>
    <row r="426">
      <c r="I426" s="510"/>
      <c r="J426" s="510"/>
      <c r="K426" s="510"/>
      <c r="L426" s="510"/>
      <c r="M426" s="510"/>
    </row>
    <row r="427">
      <c r="I427" s="510"/>
      <c r="J427" s="510"/>
      <c r="K427" s="510"/>
      <c r="L427" s="510"/>
      <c r="M427" s="510"/>
    </row>
    <row r="428">
      <c r="I428" s="510"/>
      <c r="J428" s="510"/>
      <c r="K428" s="510"/>
      <c r="L428" s="510"/>
      <c r="M428" s="510"/>
    </row>
    <row r="429">
      <c r="I429" s="510"/>
      <c r="J429" s="510"/>
      <c r="K429" s="510"/>
      <c r="L429" s="510"/>
      <c r="M429" s="510"/>
    </row>
    <row r="430">
      <c r="I430" s="510"/>
      <c r="J430" s="510"/>
      <c r="K430" s="510"/>
      <c r="L430" s="510"/>
      <c r="M430" s="510"/>
    </row>
    <row r="431">
      <c r="I431" s="510"/>
      <c r="J431" s="510"/>
      <c r="K431" s="510"/>
      <c r="L431" s="510"/>
      <c r="M431" s="510"/>
    </row>
    <row r="432">
      <c r="I432" s="510"/>
      <c r="J432" s="510"/>
      <c r="K432" s="510"/>
      <c r="L432" s="510"/>
      <c r="M432" s="510"/>
    </row>
    <row r="433">
      <c r="I433" s="510"/>
      <c r="J433" s="510"/>
      <c r="K433" s="510"/>
      <c r="L433" s="510"/>
      <c r="M433" s="510"/>
    </row>
    <row r="434">
      <c r="I434" s="510"/>
      <c r="J434" s="510"/>
      <c r="K434" s="510"/>
      <c r="L434" s="510"/>
      <c r="M434" s="510"/>
    </row>
    <row r="435">
      <c r="I435" s="510"/>
      <c r="J435" s="510"/>
      <c r="K435" s="510"/>
      <c r="L435" s="510"/>
      <c r="M435" s="510"/>
    </row>
    <row r="436">
      <c r="I436" s="510"/>
      <c r="J436" s="510"/>
      <c r="K436" s="510"/>
      <c r="L436" s="510"/>
      <c r="M436" s="510"/>
    </row>
    <row r="437">
      <c r="I437" s="510"/>
      <c r="J437" s="510"/>
      <c r="K437" s="510"/>
      <c r="L437" s="510"/>
      <c r="M437" s="510"/>
    </row>
    <row r="438">
      <c r="I438" s="510"/>
      <c r="J438" s="510"/>
      <c r="K438" s="510"/>
      <c r="L438" s="510"/>
      <c r="M438" s="510"/>
    </row>
    <row r="439">
      <c r="I439" s="510"/>
      <c r="J439" s="510"/>
      <c r="K439" s="510"/>
      <c r="L439" s="510"/>
      <c r="M439" s="510"/>
    </row>
    <row r="440">
      <c r="I440" s="510"/>
      <c r="J440" s="510"/>
      <c r="K440" s="510"/>
      <c r="L440" s="510"/>
      <c r="M440" s="510"/>
    </row>
    <row r="441">
      <c r="I441" s="510"/>
      <c r="J441" s="510"/>
      <c r="K441" s="510"/>
      <c r="L441" s="510"/>
      <c r="M441" s="510"/>
    </row>
    <row r="442">
      <c r="I442" s="510"/>
      <c r="J442" s="510"/>
      <c r="K442" s="510"/>
      <c r="L442" s="510"/>
      <c r="M442" s="510"/>
    </row>
    <row r="443">
      <c r="I443" s="510"/>
      <c r="J443" s="510"/>
      <c r="K443" s="510"/>
      <c r="L443" s="510"/>
      <c r="M443" s="510"/>
    </row>
    <row r="444">
      <c r="I444" s="510"/>
      <c r="J444" s="510"/>
      <c r="K444" s="510"/>
      <c r="L444" s="510"/>
      <c r="M444" s="510"/>
    </row>
    <row r="445">
      <c r="I445" s="510"/>
      <c r="J445" s="510"/>
      <c r="K445" s="510"/>
      <c r="L445" s="510"/>
      <c r="M445" s="510"/>
    </row>
    <row r="446">
      <c r="I446" s="510"/>
      <c r="J446" s="510"/>
      <c r="K446" s="510"/>
      <c r="L446" s="510"/>
      <c r="M446" s="510"/>
    </row>
    <row r="447">
      <c r="I447" s="510"/>
      <c r="J447" s="510"/>
      <c r="K447" s="510"/>
      <c r="L447" s="510"/>
      <c r="M447" s="510"/>
    </row>
    <row r="448">
      <c r="I448" s="510"/>
      <c r="J448" s="510"/>
      <c r="K448" s="510"/>
      <c r="L448" s="510"/>
      <c r="M448" s="510"/>
    </row>
    <row r="449">
      <c r="I449" s="510"/>
      <c r="J449" s="510"/>
      <c r="K449" s="510"/>
      <c r="L449" s="510"/>
      <c r="M449" s="510"/>
    </row>
    <row r="450">
      <c r="I450" s="510"/>
      <c r="J450" s="510"/>
      <c r="K450" s="510"/>
      <c r="L450" s="510"/>
      <c r="M450" s="510"/>
    </row>
    <row r="451">
      <c r="I451" s="510"/>
      <c r="J451" s="510"/>
      <c r="K451" s="510"/>
      <c r="L451" s="510"/>
      <c r="M451" s="510"/>
    </row>
    <row r="452">
      <c r="I452" s="510"/>
      <c r="J452" s="510"/>
      <c r="K452" s="510"/>
      <c r="L452" s="510"/>
      <c r="M452" s="510"/>
    </row>
    <row r="453">
      <c r="I453" s="510"/>
      <c r="J453" s="510"/>
      <c r="K453" s="510"/>
      <c r="L453" s="510"/>
      <c r="M453" s="510"/>
    </row>
    <row r="454">
      <c r="I454" s="510"/>
      <c r="J454" s="510"/>
      <c r="K454" s="510"/>
      <c r="L454" s="510"/>
      <c r="M454" s="510"/>
    </row>
    <row r="455">
      <c r="I455" s="510"/>
      <c r="J455" s="510"/>
      <c r="K455" s="510"/>
      <c r="L455" s="510"/>
      <c r="M455" s="510"/>
    </row>
    <row r="456">
      <c r="I456" s="510"/>
      <c r="J456" s="510"/>
      <c r="K456" s="510"/>
      <c r="L456" s="510"/>
      <c r="M456" s="510"/>
    </row>
    <row r="457">
      <c r="I457" s="510"/>
      <c r="J457" s="510"/>
      <c r="K457" s="510"/>
      <c r="L457" s="510"/>
      <c r="M457" s="510"/>
    </row>
    <row r="458">
      <c r="I458" s="510"/>
      <c r="J458" s="510"/>
      <c r="K458" s="510"/>
      <c r="L458" s="510"/>
      <c r="M458" s="510"/>
    </row>
    <row r="459">
      <c r="I459" s="510"/>
      <c r="J459" s="510"/>
      <c r="K459" s="510"/>
      <c r="L459" s="510"/>
      <c r="M459" s="510"/>
    </row>
    <row r="460">
      <c r="I460" s="510"/>
      <c r="J460" s="510"/>
      <c r="K460" s="510"/>
      <c r="L460" s="510"/>
      <c r="M460" s="510"/>
    </row>
    <row r="461">
      <c r="I461" s="510"/>
      <c r="J461" s="510"/>
      <c r="K461" s="510"/>
      <c r="L461" s="510"/>
      <c r="M461" s="510"/>
    </row>
    <row r="462">
      <c r="I462" s="510"/>
      <c r="J462" s="510"/>
      <c r="K462" s="510"/>
      <c r="L462" s="510"/>
      <c r="M462" s="510"/>
    </row>
    <row r="463">
      <c r="I463" s="510"/>
      <c r="J463" s="510"/>
      <c r="K463" s="510"/>
      <c r="L463" s="510"/>
      <c r="M463" s="510"/>
    </row>
    <row r="464">
      <c r="I464" s="510"/>
      <c r="J464" s="510"/>
      <c r="K464" s="510"/>
      <c r="L464" s="510"/>
      <c r="M464" s="510"/>
    </row>
    <row r="465">
      <c r="I465" s="510"/>
      <c r="J465" s="510"/>
      <c r="K465" s="510"/>
      <c r="L465" s="510"/>
      <c r="M465" s="510"/>
    </row>
    <row r="466">
      <c r="I466" s="510"/>
      <c r="J466" s="510"/>
      <c r="K466" s="510"/>
      <c r="L466" s="510"/>
      <c r="M466" s="510"/>
    </row>
    <row r="467">
      <c r="I467" s="510"/>
      <c r="J467" s="510"/>
      <c r="K467" s="510"/>
      <c r="L467" s="510"/>
      <c r="M467" s="510"/>
    </row>
    <row r="468">
      <c r="I468" s="510"/>
      <c r="J468" s="510"/>
      <c r="K468" s="510"/>
      <c r="L468" s="510"/>
      <c r="M468" s="510"/>
    </row>
    <row r="469">
      <c r="I469" s="510"/>
      <c r="J469" s="510"/>
      <c r="K469" s="510"/>
      <c r="L469" s="510"/>
      <c r="M469" s="510"/>
    </row>
    <row r="470">
      <c r="I470" s="510"/>
      <c r="J470" s="510"/>
      <c r="K470" s="510"/>
      <c r="L470" s="510"/>
      <c r="M470" s="510"/>
    </row>
    <row r="471">
      <c r="I471" s="510"/>
      <c r="J471" s="510"/>
      <c r="K471" s="510"/>
      <c r="L471" s="510"/>
      <c r="M471" s="510"/>
    </row>
    <row r="472">
      <c r="I472" s="510"/>
      <c r="J472" s="510"/>
      <c r="K472" s="510"/>
      <c r="L472" s="510"/>
      <c r="M472" s="510"/>
    </row>
    <row r="473">
      <c r="I473" s="510"/>
      <c r="J473" s="510"/>
      <c r="K473" s="510"/>
      <c r="L473" s="510"/>
      <c r="M473" s="510"/>
    </row>
    <row r="474">
      <c r="I474" s="510"/>
      <c r="J474" s="510"/>
      <c r="K474" s="510"/>
      <c r="L474" s="510"/>
      <c r="M474" s="510"/>
    </row>
    <row r="475">
      <c r="I475" s="510"/>
      <c r="J475" s="510"/>
      <c r="K475" s="510"/>
      <c r="L475" s="510"/>
      <c r="M475" s="510"/>
    </row>
    <row r="476">
      <c r="I476" s="510"/>
      <c r="J476" s="510"/>
      <c r="K476" s="510"/>
      <c r="L476" s="510"/>
      <c r="M476" s="510"/>
    </row>
    <row r="477">
      <c r="I477" s="510"/>
      <c r="J477" s="510"/>
      <c r="K477" s="510"/>
      <c r="L477" s="510"/>
      <c r="M477" s="510"/>
    </row>
    <row r="478">
      <c r="I478" s="510"/>
      <c r="J478" s="510"/>
      <c r="K478" s="510"/>
      <c r="L478" s="510"/>
      <c r="M478" s="510"/>
    </row>
    <row r="479">
      <c r="I479" s="510"/>
      <c r="J479" s="510"/>
      <c r="K479" s="510"/>
      <c r="L479" s="510"/>
      <c r="M479" s="510"/>
    </row>
    <row r="480">
      <c r="I480" s="510"/>
      <c r="J480" s="510"/>
      <c r="K480" s="510"/>
      <c r="L480" s="510"/>
      <c r="M480" s="510"/>
    </row>
    <row r="481">
      <c r="I481" s="510"/>
      <c r="J481" s="510"/>
      <c r="K481" s="510"/>
      <c r="L481" s="510"/>
      <c r="M481" s="510"/>
    </row>
    <row r="482">
      <c r="I482" s="510"/>
      <c r="J482" s="510"/>
      <c r="K482" s="510"/>
      <c r="L482" s="510"/>
      <c r="M482" s="510"/>
    </row>
    <row r="483">
      <c r="I483" s="510"/>
      <c r="J483" s="510"/>
      <c r="K483" s="510"/>
      <c r="L483" s="510"/>
      <c r="M483" s="510"/>
    </row>
    <row r="484">
      <c r="I484" s="510"/>
      <c r="J484" s="510"/>
      <c r="K484" s="510"/>
      <c r="L484" s="510"/>
      <c r="M484" s="510"/>
    </row>
    <row r="485">
      <c r="I485" s="510"/>
      <c r="J485" s="510"/>
      <c r="K485" s="510"/>
      <c r="L485" s="510"/>
      <c r="M485" s="510"/>
    </row>
    <row r="486">
      <c r="I486" s="510"/>
      <c r="J486" s="510"/>
      <c r="K486" s="510"/>
      <c r="L486" s="510"/>
      <c r="M486" s="510"/>
    </row>
    <row r="487">
      <c r="I487" s="510"/>
      <c r="J487" s="510"/>
      <c r="K487" s="510"/>
      <c r="L487" s="510"/>
      <c r="M487" s="510"/>
    </row>
    <row r="488">
      <c r="I488" s="510"/>
      <c r="J488" s="510"/>
      <c r="K488" s="510"/>
      <c r="L488" s="510"/>
      <c r="M488" s="510"/>
    </row>
    <row r="489">
      <c r="I489" s="510"/>
      <c r="J489" s="510"/>
      <c r="K489" s="510"/>
      <c r="L489" s="510"/>
      <c r="M489" s="510"/>
    </row>
    <row r="490">
      <c r="I490" s="510"/>
      <c r="J490" s="510"/>
      <c r="K490" s="510"/>
      <c r="L490" s="510"/>
      <c r="M490" s="510"/>
    </row>
    <row r="491">
      <c r="I491" s="510"/>
      <c r="J491" s="510"/>
      <c r="K491" s="510"/>
      <c r="L491" s="510"/>
      <c r="M491" s="510"/>
    </row>
    <row r="492">
      <c r="I492" s="510"/>
      <c r="J492" s="510"/>
      <c r="K492" s="510"/>
      <c r="L492" s="510"/>
      <c r="M492" s="510"/>
    </row>
    <row r="493">
      <c r="I493" s="510"/>
      <c r="J493" s="510"/>
      <c r="K493" s="510"/>
      <c r="L493" s="510"/>
      <c r="M493" s="510"/>
    </row>
    <row r="494">
      <c r="I494" s="510"/>
      <c r="J494" s="510"/>
      <c r="K494" s="510"/>
      <c r="L494" s="510"/>
      <c r="M494" s="510"/>
    </row>
    <row r="495">
      <c r="I495" s="510"/>
      <c r="J495" s="510"/>
      <c r="K495" s="510"/>
      <c r="L495" s="510"/>
      <c r="M495" s="510"/>
    </row>
    <row r="496">
      <c r="I496" s="510"/>
      <c r="J496" s="510"/>
      <c r="K496" s="510"/>
      <c r="L496" s="510"/>
      <c r="M496" s="510"/>
    </row>
    <row r="497">
      <c r="I497" s="510"/>
      <c r="J497" s="510"/>
      <c r="K497" s="510"/>
      <c r="L497" s="510"/>
      <c r="M497" s="510"/>
    </row>
    <row r="498">
      <c r="I498" s="510"/>
      <c r="J498" s="510"/>
      <c r="K498" s="510"/>
      <c r="L498" s="510"/>
      <c r="M498" s="510"/>
    </row>
    <row r="499">
      <c r="I499" s="510"/>
      <c r="J499" s="510"/>
      <c r="K499" s="510"/>
      <c r="L499" s="510"/>
      <c r="M499" s="510"/>
    </row>
    <row r="500">
      <c r="I500" s="510"/>
      <c r="J500" s="510"/>
      <c r="K500" s="510"/>
      <c r="L500" s="510"/>
      <c r="M500" s="510"/>
    </row>
    <row r="501">
      <c r="I501" s="510"/>
      <c r="J501" s="510"/>
      <c r="K501" s="510"/>
      <c r="L501" s="510"/>
      <c r="M501" s="510"/>
    </row>
    <row r="502">
      <c r="I502" s="510"/>
      <c r="J502" s="510"/>
      <c r="K502" s="510"/>
      <c r="L502" s="510"/>
      <c r="M502" s="510"/>
    </row>
    <row r="503">
      <c r="I503" s="510"/>
      <c r="J503" s="510"/>
      <c r="K503" s="510"/>
      <c r="L503" s="510"/>
      <c r="M503" s="510"/>
    </row>
    <row r="504">
      <c r="I504" s="510"/>
      <c r="J504" s="510"/>
      <c r="K504" s="510"/>
      <c r="L504" s="510"/>
      <c r="M504" s="510"/>
    </row>
    <row r="505">
      <c r="I505" s="510"/>
      <c r="J505" s="510"/>
      <c r="K505" s="510"/>
      <c r="L505" s="510"/>
      <c r="M505" s="510"/>
    </row>
    <row r="506">
      <c r="I506" s="510"/>
      <c r="J506" s="510"/>
      <c r="K506" s="510"/>
      <c r="L506" s="510"/>
      <c r="M506" s="510"/>
    </row>
    <row r="507">
      <c r="I507" s="510"/>
      <c r="J507" s="510"/>
      <c r="K507" s="510"/>
      <c r="L507" s="510"/>
      <c r="M507" s="510"/>
    </row>
    <row r="508">
      <c r="I508" s="510"/>
      <c r="J508" s="510"/>
      <c r="K508" s="510"/>
      <c r="L508" s="510"/>
      <c r="M508" s="510"/>
    </row>
    <row r="509">
      <c r="I509" s="510"/>
      <c r="J509" s="510"/>
      <c r="K509" s="510"/>
      <c r="L509" s="510"/>
      <c r="M509" s="510"/>
    </row>
    <row r="510">
      <c r="I510" s="510"/>
      <c r="J510" s="510"/>
      <c r="K510" s="510"/>
      <c r="L510" s="510"/>
      <c r="M510" s="510"/>
    </row>
    <row r="511">
      <c r="I511" s="510"/>
      <c r="J511" s="510"/>
      <c r="K511" s="510"/>
      <c r="L511" s="510"/>
      <c r="M511" s="510"/>
    </row>
    <row r="512">
      <c r="I512" s="510"/>
      <c r="J512" s="510"/>
      <c r="K512" s="510"/>
      <c r="L512" s="510"/>
      <c r="M512" s="510"/>
    </row>
    <row r="513">
      <c r="I513" s="510"/>
      <c r="J513" s="510"/>
      <c r="K513" s="510"/>
      <c r="L513" s="510"/>
      <c r="M513" s="510"/>
    </row>
    <row r="514">
      <c r="I514" s="510"/>
      <c r="J514" s="510"/>
      <c r="K514" s="510"/>
      <c r="L514" s="510"/>
      <c r="M514" s="510"/>
    </row>
    <row r="515">
      <c r="I515" s="510"/>
      <c r="J515" s="510"/>
      <c r="K515" s="510"/>
      <c r="L515" s="510"/>
      <c r="M515" s="510"/>
    </row>
    <row r="516">
      <c r="I516" s="510"/>
      <c r="J516" s="510"/>
      <c r="K516" s="510"/>
      <c r="L516" s="510"/>
      <c r="M516" s="510"/>
    </row>
    <row r="517">
      <c r="I517" s="510"/>
      <c r="J517" s="510"/>
      <c r="K517" s="510"/>
      <c r="L517" s="510"/>
      <c r="M517" s="510"/>
    </row>
    <row r="518">
      <c r="I518" s="510"/>
      <c r="J518" s="510"/>
      <c r="K518" s="510"/>
      <c r="L518" s="510"/>
      <c r="M518" s="510"/>
    </row>
    <row r="519">
      <c r="I519" s="510"/>
      <c r="J519" s="510"/>
      <c r="K519" s="510"/>
      <c r="L519" s="510"/>
      <c r="M519" s="510"/>
    </row>
    <row r="520">
      <c r="I520" s="510"/>
      <c r="J520" s="510"/>
      <c r="K520" s="510"/>
      <c r="L520" s="510"/>
      <c r="M520" s="510"/>
    </row>
    <row r="521">
      <c r="I521" s="510"/>
      <c r="J521" s="510"/>
      <c r="K521" s="510"/>
      <c r="L521" s="510"/>
      <c r="M521" s="510"/>
    </row>
    <row r="522">
      <c r="I522" s="510"/>
      <c r="J522" s="510"/>
      <c r="K522" s="510"/>
      <c r="L522" s="510"/>
      <c r="M522" s="510"/>
    </row>
    <row r="523">
      <c r="I523" s="510"/>
      <c r="J523" s="510"/>
      <c r="K523" s="510"/>
      <c r="L523" s="510"/>
      <c r="M523" s="510"/>
    </row>
    <row r="524">
      <c r="I524" s="510"/>
      <c r="J524" s="510"/>
      <c r="K524" s="510"/>
      <c r="L524" s="510"/>
      <c r="M524" s="510"/>
    </row>
    <row r="525">
      <c r="I525" s="510"/>
      <c r="J525" s="510"/>
      <c r="K525" s="510"/>
      <c r="L525" s="510"/>
      <c r="M525" s="510"/>
    </row>
    <row r="526">
      <c r="I526" s="510"/>
      <c r="J526" s="510"/>
      <c r="K526" s="510"/>
      <c r="L526" s="510"/>
      <c r="M526" s="510"/>
    </row>
    <row r="527">
      <c r="I527" s="510"/>
      <c r="J527" s="510"/>
      <c r="K527" s="510"/>
      <c r="L527" s="510"/>
      <c r="M527" s="510"/>
    </row>
    <row r="528">
      <c r="I528" s="510"/>
      <c r="J528" s="510"/>
      <c r="K528" s="510"/>
      <c r="L528" s="510"/>
      <c r="M528" s="510"/>
    </row>
    <row r="529">
      <c r="I529" s="510"/>
      <c r="J529" s="510"/>
      <c r="K529" s="510"/>
      <c r="L529" s="510"/>
      <c r="M529" s="510"/>
    </row>
    <row r="530">
      <c r="I530" s="510"/>
      <c r="J530" s="510"/>
      <c r="K530" s="510"/>
      <c r="L530" s="510"/>
      <c r="M530" s="510"/>
    </row>
    <row r="531">
      <c r="I531" s="510"/>
      <c r="J531" s="510"/>
      <c r="K531" s="510"/>
      <c r="L531" s="510"/>
      <c r="M531" s="510"/>
    </row>
    <row r="532">
      <c r="I532" s="510"/>
      <c r="J532" s="510"/>
      <c r="K532" s="510"/>
      <c r="L532" s="510"/>
      <c r="M532" s="510"/>
    </row>
    <row r="533">
      <c r="I533" s="510"/>
      <c r="J533" s="510"/>
      <c r="K533" s="510"/>
      <c r="L533" s="510"/>
      <c r="M533" s="510"/>
    </row>
    <row r="534">
      <c r="I534" s="510"/>
      <c r="J534" s="510"/>
      <c r="K534" s="510"/>
      <c r="L534" s="510"/>
      <c r="M534" s="510"/>
    </row>
    <row r="535">
      <c r="I535" s="510"/>
      <c r="J535" s="510"/>
      <c r="K535" s="510"/>
      <c r="L535" s="510"/>
      <c r="M535" s="510"/>
    </row>
    <row r="536">
      <c r="I536" s="510"/>
      <c r="J536" s="510"/>
      <c r="K536" s="510"/>
      <c r="L536" s="510"/>
      <c r="M536" s="510"/>
    </row>
    <row r="537">
      <c r="I537" s="510"/>
      <c r="J537" s="510"/>
      <c r="K537" s="510"/>
      <c r="L537" s="510"/>
      <c r="M537" s="510"/>
    </row>
    <row r="538">
      <c r="I538" s="510"/>
      <c r="J538" s="510"/>
      <c r="K538" s="510"/>
      <c r="L538" s="510"/>
      <c r="M538" s="510"/>
    </row>
    <row r="539">
      <c r="I539" s="510"/>
      <c r="J539" s="510"/>
      <c r="K539" s="510"/>
      <c r="L539" s="510"/>
      <c r="M539" s="510"/>
    </row>
    <row r="540">
      <c r="I540" s="510"/>
      <c r="J540" s="510"/>
      <c r="K540" s="510"/>
      <c r="L540" s="510"/>
      <c r="M540" s="510"/>
    </row>
    <row r="541">
      <c r="I541" s="510"/>
      <c r="J541" s="510"/>
      <c r="K541" s="510"/>
      <c r="L541" s="510"/>
      <c r="M541" s="510"/>
    </row>
    <row r="542">
      <c r="I542" s="510"/>
      <c r="J542" s="510"/>
      <c r="K542" s="510"/>
      <c r="L542" s="510"/>
      <c r="M542" s="510"/>
    </row>
    <row r="543">
      <c r="I543" s="510"/>
      <c r="J543" s="510"/>
      <c r="K543" s="510"/>
      <c r="L543" s="510"/>
      <c r="M543" s="510"/>
    </row>
    <row r="544">
      <c r="I544" s="510"/>
      <c r="J544" s="510"/>
      <c r="K544" s="510"/>
      <c r="L544" s="510"/>
      <c r="M544" s="510"/>
    </row>
    <row r="545">
      <c r="I545" s="510"/>
      <c r="J545" s="510"/>
      <c r="K545" s="510"/>
      <c r="L545" s="510"/>
      <c r="M545" s="510"/>
    </row>
    <row r="546">
      <c r="I546" s="510"/>
      <c r="J546" s="510"/>
      <c r="K546" s="510"/>
      <c r="L546" s="510"/>
      <c r="M546" s="510"/>
    </row>
    <row r="547">
      <c r="I547" s="510"/>
      <c r="J547" s="510"/>
      <c r="K547" s="510"/>
      <c r="L547" s="510"/>
      <c r="M547" s="510"/>
    </row>
    <row r="548">
      <c r="I548" s="510"/>
      <c r="J548" s="510"/>
      <c r="K548" s="510"/>
      <c r="L548" s="510"/>
      <c r="M548" s="510"/>
    </row>
    <row r="549">
      <c r="I549" s="510"/>
      <c r="J549" s="510"/>
      <c r="K549" s="510"/>
      <c r="L549" s="510"/>
      <c r="M549" s="510"/>
    </row>
    <row r="550">
      <c r="I550" s="510"/>
      <c r="J550" s="510"/>
      <c r="K550" s="510"/>
      <c r="L550" s="510"/>
      <c r="M550" s="510"/>
    </row>
    <row r="551">
      <c r="I551" s="510"/>
      <c r="J551" s="510"/>
      <c r="K551" s="510"/>
      <c r="L551" s="510"/>
      <c r="M551" s="510"/>
    </row>
    <row r="552">
      <c r="I552" s="510"/>
      <c r="J552" s="510"/>
      <c r="K552" s="510"/>
      <c r="L552" s="510"/>
      <c r="M552" s="510"/>
    </row>
    <row r="553">
      <c r="I553" s="510"/>
      <c r="J553" s="510"/>
      <c r="K553" s="510"/>
      <c r="L553" s="510"/>
      <c r="M553" s="510"/>
    </row>
    <row r="554">
      <c r="I554" s="510"/>
      <c r="J554" s="510"/>
      <c r="K554" s="510"/>
      <c r="L554" s="510"/>
      <c r="M554" s="510"/>
    </row>
    <row r="555">
      <c r="I555" s="510"/>
      <c r="J555" s="510"/>
      <c r="K555" s="510"/>
      <c r="L555" s="510"/>
      <c r="M555" s="510"/>
    </row>
    <row r="556">
      <c r="I556" s="510"/>
      <c r="J556" s="510"/>
      <c r="K556" s="510"/>
      <c r="L556" s="510"/>
      <c r="M556" s="510"/>
    </row>
    <row r="557">
      <c r="I557" s="510"/>
      <c r="J557" s="510"/>
      <c r="K557" s="510"/>
      <c r="L557" s="510"/>
      <c r="M557" s="510"/>
    </row>
    <row r="558">
      <c r="I558" s="510"/>
      <c r="J558" s="510"/>
      <c r="K558" s="510"/>
      <c r="L558" s="510"/>
      <c r="M558" s="510"/>
    </row>
    <row r="559">
      <c r="I559" s="510"/>
      <c r="J559" s="510"/>
      <c r="K559" s="510"/>
      <c r="L559" s="510"/>
      <c r="M559" s="510"/>
    </row>
    <row r="560">
      <c r="I560" s="510"/>
      <c r="J560" s="510"/>
      <c r="K560" s="510"/>
      <c r="L560" s="510"/>
      <c r="M560" s="510"/>
    </row>
    <row r="561">
      <c r="I561" s="510"/>
      <c r="J561" s="510"/>
      <c r="K561" s="510"/>
      <c r="L561" s="510"/>
      <c r="M561" s="510"/>
    </row>
    <row r="562">
      <c r="I562" s="510"/>
      <c r="J562" s="510"/>
      <c r="K562" s="510"/>
      <c r="L562" s="510"/>
      <c r="M562" s="510"/>
    </row>
    <row r="563">
      <c r="I563" s="510"/>
      <c r="J563" s="510"/>
      <c r="K563" s="510"/>
      <c r="L563" s="510"/>
      <c r="M563" s="510"/>
    </row>
    <row r="564">
      <c r="I564" s="510"/>
      <c r="J564" s="510"/>
      <c r="K564" s="510"/>
      <c r="L564" s="510"/>
      <c r="M564" s="510"/>
    </row>
    <row r="565">
      <c r="I565" s="510"/>
      <c r="J565" s="510"/>
      <c r="K565" s="510"/>
      <c r="L565" s="510"/>
      <c r="M565" s="510"/>
    </row>
    <row r="566">
      <c r="I566" s="510"/>
      <c r="J566" s="510"/>
      <c r="K566" s="510"/>
      <c r="L566" s="510"/>
      <c r="M566" s="510"/>
    </row>
    <row r="567">
      <c r="I567" s="510"/>
      <c r="J567" s="510"/>
      <c r="K567" s="510"/>
      <c r="L567" s="510"/>
      <c r="M567" s="510"/>
    </row>
    <row r="568">
      <c r="I568" s="510"/>
      <c r="J568" s="510"/>
      <c r="K568" s="510"/>
      <c r="L568" s="510"/>
      <c r="M568" s="510"/>
    </row>
    <row r="569">
      <c r="I569" s="510"/>
      <c r="J569" s="510"/>
      <c r="K569" s="510"/>
      <c r="L569" s="510"/>
      <c r="M569" s="510"/>
    </row>
    <row r="570">
      <c r="I570" s="510"/>
      <c r="J570" s="510"/>
      <c r="K570" s="510"/>
      <c r="L570" s="510"/>
      <c r="M570" s="510"/>
    </row>
    <row r="571">
      <c r="I571" s="510"/>
      <c r="J571" s="510"/>
      <c r="K571" s="510"/>
      <c r="L571" s="510"/>
      <c r="M571" s="510"/>
    </row>
    <row r="572">
      <c r="I572" s="510"/>
      <c r="J572" s="510"/>
      <c r="K572" s="510"/>
      <c r="L572" s="510"/>
      <c r="M572" s="510"/>
    </row>
    <row r="573">
      <c r="I573" s="510"/>
      <c r="J573" s="510"/>
      <c r="K573" s="510"/>
      <c r="L573" s="510"/>
      <c r="M573" s="510"/>
    </row>
    <row r="574">
      <c r="I574" s="510"/>
      <c r="J574" s="510"/>
      <c r="K574" s="510"/>
      <c r="L574" s="510"/>
      <c r="M574" s="510"/>
    </row>
    <row r="575">
      <c r="I575" s="510"/>
      <c r="J575" s="510"/>
      <c r="K575" s="510"/>
      <c r="L575" s="510"/>
      <c r="M575" s="510"/>
    </row>
    <row r="576">
      <c r="I576" s="510"/>
      <c r="J576" s="510"/>
      <c r="K576" s="510"/>
      <c r="L576" s="510"/>
      <c r="M576" s="510"/>
    </row>
    <row r="577">
      <c r="I577" s="510"/>
      <c r="J577" s="510"/>
      <c r="K577" s="510"/>
      <c r="L577" s="510"/>
      <c r="M577" s="510"/>
    </row>
    <row r="578">
      <c r="I578" s="510"/>
      <c r="J578" s="510"/>
      <c r="K578" s="510"/>
      <c r="L578" s="510"/>
      <c r="M578" s="510"/>
    </row>
    <row r="579">
      <c r="I579" s="510"/>
      <c r="J579" s="510"/>
      <c r="K579" s="510"/>
      <c r="L579" s="510"/>
      <c r="M579" s="510"/>
    </row>
    <row r="580">
      <c r="I580" s="510"/>
      <c r="J580" s="510"/>
      <c r="K580" s="510"/>
      <c r="L580" s="510"/>
      <c r="M580" s="510"/>
    </row>
    <row r="581">
      <c r="I581" s="510"/>
      <c r="J581" s="510"/>
      <c r="K581" s="510"/>
      <c r="L581" s="510"/>
      <c r="M581" s="510"/>
    </row>
    <row r="582">
      <c r="I582" s="510"/>
      <c r="J582" s="510"/>
      <c r="K582" s="510"/>
      <c r="L582" s="510"/>
      <c r="M582" s="510"/>
    </row>
    <row r="583">
      <c r="I583" s="510"/>
      <c r="J583" s="510"/>
      <c r="K583" s="510"/>
      <c r="L583" s="510"/>
      <c r="M583" s="510"/>
    </row>
    <row r="584">
      <c r="I584" s="510"/>
      <c r="J584" s="510"/>
      <c r="K584" s="510"/>
      <c r="L584" s="510"/>
      <c r="M584" s="510"/>
    </row>
    <row r="585">
      <c r="I585" s="510"/>
      <c r="J585" s="510"/>
      <c r="K585" s="510"/>
      <c r="L585" s="510"/>
      <c r="M585" s="510"/>
    </row>
    <row r="586">
      <c r="I586" s="510"/>
      <c r="J586" s="510"/>
      <c r="K586" s="510"/>
      <c r="L586" s="510"/>
      <c r="M586" s="510"/>
    </row>
    <row r="587">
      <c r="I587" s="510"/>
      <c r="J587" s="510"/>
      <c r="K587" s="510"/>
      <c r="L587" s="510"/>
      <c r="M587" s="510"/>
    </row>
    <row r="588">
      <c r="I588" s="510"/>
      <c r="J588" s="510"/>
      <c r="K588" s="510"/>
      <c r="L588" s="510"/>
      <c r="M588" s="510"/>
    </row>
    <row r="589">
      <c r="I589" s="510"/>
      <c r="J589" s="510"/>
      <c r="K589" s="510"/>
      <c r="L589" s="510"/>
      <c r="M589" s="510"/>
    </row>
    <row r="590">
      <c r="I590" s="510"/>
      <c r="J590" s="510"/>
      <c r="K590" s="510"/>
      <c r="L590" s="510"/>
      <c r="M590" s="510"/>
    </row>
    <row r="591">
      <c r="I591" s="510"/>
      <c r="J591" s="510"/>
      <c r="K591" s="510"/>
      <c r="L591" s="510"/>
      <c r="M591" s="510"/>
    </row>
    <row r="592">
      <c r="I592" s="510"/>
      <c r="J592" s="510"/>
      <c r="K592" s="510"/>
      <c r="L592" s="510"/>
      <c r="M592" s="510"/>
    </row>
    <row r="593">
      <c r="I593" s="510"/>
      <c r="J593" s="510"/>
      <c r="K593" s="510"/>
      <c r="L593" s="510"/>
      <c r="M593" s="510"/>
    </row>
    <row r="594">
      <c r="I594" s="510"/>
      <c r="J594" s="510"/>
      <c r="K594" s="510"/>
      <c r="L594" s="510"/>
      <c r="M594" s="510"/>
    </row>
    <row r="595">
      <c r="I595" s="510"/>
      <c r="J595" s="510"/>
      <c r="K595" s="510"/>
      <c r="L595" s="510"/>
      <c r="M595" s="510"/>
    </row>
    <row r="596">
      <c r="I596" s="510"/>
      <c r="J596" s="510"/>
      <c r="K596" s="510"/>
      <c r="L596" s="510"/>
      <c r="M596" s="510"/>
    </row>
    <row r="597">
      <c r="I597" s="510"/>
      <c r="J597" s="510"/>
      <c r="K597" s="510"/>
      <c r="L597" s="510"/>
      <c r="M597" s="510"/>
    </row>
    <row r="598">
      <c r="I598" s="510"/>
      <c r="J598" s="510"/>
      <c r="K598" s="510"/>
      <c r="L598" s="510"/>
      <c r="M598" s="510"/>
    </row>
    <row r="599">
      <c r="I599" s="510"/>
      <c r="J599" s="510"/>
      <c r="K599" s="510"/>
      <c r="L599" s="510"/>
      <c r="M599" s="510"/>
    </row>
    <row r="600">
      <c r="I600" s="510"/>
      <c r="J600" s="510"/>
      <c r="K600" s="510"/>
      <c r="L600" s="510"/>
      <c r="M600" s="510"/>
    </row>
    <row r="601">
      <c r="I601" s="510"/>
      <c r="J601" s="510"/>
      <c r="K601" s="510"/>
      <c r="L601" s="510"/>
      <c r="M601" s="510"/>
    </row>
    <row r="602">
      <c r="I602" s="510"/>
      <c r="J602" s="510"/>
      <c r="K602" s="510"/>
      <c r="L602" s="510"/>
      <c r="M602" s="510"/>
    </row>
    <row r="603">
      <c r="I603" s="510"/>
      <c r="J603" s="510"/>
      <c r="K603" s="510"/>
      <c r="L603" s="510"/>
      <c r="M603" s="510"/>
    </row>
    <row r="604">
      <c r="I604" s="510"/>
      <c r="J604" s="510"/>
      <c r="K604" s="510"/>
      <c r="L604" s="510"/>
      <c r="M604" s="510"/>
    </row>
    <row r="605">
      <c r="I605" s="510"/>
      <c r="J605" s="510"/>
      <c r="K605" s="510"/>
      <c r="L605" s="510"/>
      <c r="M605" s="510"/>
    </row>
    <row r="606">
      <c r="I606" s="510"/>
      <c r="J606" s="510"/>
      <c r="K606" s="510"/>
      <c r="L606" s="510"/>
      <c r="M606" s="510"/>
    </row>
    <row r="607">
      <c r="I607" s="510"/>
      <c r="J607" s="510"/>
      <c r="K607" s="510"/>
      <c r="L607" s="510"/>
      <c r="M607" s="510"/>
    </row>
    <row r="608">
      <c r="I608" s="510"/>
      <c r="J608" s="510"/>
      <c r="K608" s="510"/>
      <c r="L608" s="510"/>
      <c r="M608" s="510"/>
    </row>
    <row r="609">
      <c r="I609" s="510"/>
      <c r="J609" s="510"/>
      <c r="K609" s="510"/>
      <c r="L609" s="510"/>
      <c r="M609" s="510"/>
    </row>
    <row r="610">
      <c r="I610" s="510"/>
      <c r="J610" s="510"/>
      <c r="K610" s="510"/>
      <c r="L610" s="510"/>
      <c r="M610" s="510"/>
    </row>
    <row r="611">
      <c r="I611" s="510"/>
      <c r="J611" s="510"/>
      <c r="K611" s="510"/>
      <c r="L611" s="510"/>
      <c r="M611" s="510"/>
    </row>
    <row r="612">
      <c r="I612" s="510"/>
      <c r="J612" s="510"/>
      <c r="K612" s="510"/>
      <c r="L612" s="510"/>
      <c r="M612" s="510"/>
    </row>
    <row r="613">
      <c r="I613" s="510"/>
      <c r="J613" s="510"/>
      <c r="K613" s="510"/>
      <c r="L613" s="510"/>
      <c r="M613" s="510"/>
    </row>
    <row r="614">
      <c r="I614" s="510"/>
      <c r="J614" s="510"/>
      <c r="K614" s="510"/>
      <c r="L614" s="510"/>
      <c r="M614" s="510"/>
    </row>
    <row r="615">
      <c r="I615" s="510"/>
      <c r="J615" s="510"/>
      <c r="K615" s="510"/>
      <c r="L615" s="510"/>
      <c r="M615" s="510"/>
    </row>
    <row r="616">
      <c r="I616" s="510"/>
      <c r="J616" s="510"/>
      <c r="K616" s="510"/>
      <c r="L616" s="510"/>
      <c r="M616" s="510"/>
    </row>
    <row r="617">
      <c r="I617" s="510"/>
      <c r="J617" s="510"/>
      <c r="K617" s="510"/>
      <c r="L617" s="510"/>
      <c r="M617" s="510"/>
    </row>
    <row r="618">
      <c r="I618" s="510"/>
      <c r="J618" s="510"/>
      <c r="K618" s="510"/>
      <c r="L618" s="510"/>
      <c r="M618" s="510"/>
    </row>
    <row r="619">
      <c r="I619" s="510"/>
      <c r="J619" s="510"/>
      <c r="K619" s="510"/>
      <c r="L619" s="510"/>
      <c r="M619" s="510"/>
    </row>
    <row r="620">
      <c r="I620" s="510"/>
      <c r="J620" s="510"/>
      <c r="K620" s="510"/>
      <c r="L620" s="510"/>
      <c r="M620" s="510"/>
    </row>
    <row r="621">
      <c r="I621" s="510"/>
      <c r="J621" s="510"/>
      <c r="K621" s="510"/>
      <c r="L621" s="510"/>
      <c r="M621" s="510"/>
    </row>
    <row r="622">
      <c r="I622" s="510"/>
      <c r="J622" s="510"/>
      <c r="K622" s="510"/>
      <c r="L622" s="510"/>
      <c r="M622" s="510"/>
    </row>
    <row r="623">
      <c r="I623" s="510"/>
      <c r="J623" s="510"/>
      <c r="K623" s="510"/>
      <c r="L623" s="510"/>
      <c r="M623" s="510"/>
    </row>
    <row r="624">
      <c r="I624" s="510"/>
      <c r="J624" s="510"/>
      <c r="K624" s="510"/>
      <c r="L624" s="510"/>
      <c r="M624" s="510"/>
    </row>
    <row r="625">
      <c r="I625" s="510"/>
      <c r="J625" s="510"/>
      <c r="K625" s="510"/>
      <c r="L625" s="510"/>
      <c r="M625" s="510"/>
    </row>
    <row r="626">
      <c r="I626" s="510"/>
      <c r="J626" s="510"/>
      <c r="K626" s="510"/>
      <c r="L626" s="510"/>
      <c r="M626" s="510"/>
    </row>
    <row r="627">
      <c r="I627" s="510"/>
      <c r="J627" s="510"/>
      <c r="K627" s="510"/>
      <c r="L627" s="510"/>
      <c r="M627" s="510"/>
    </row>
    <row r="628">
      <c r="I628" s="510"/>
      <c r="J628" s="510"/>
      <c r="K628" s="510"/>
      <c r="L628" s="510"/>
      <c r="M628" s="510"/>
    </row>
    <row r="629">
      <c r="I629" s="510"/>
      <c r="J629" s="510"/>
      <c r="K629" s="510"/>
      <c r="L629" s="510"/>
      <c r="M629" s="510"/>
    </row>
    <row r="630">
      <c r="I630" s="510"/>
      <c r="J630" s="510"/>
      <c r="K630" s="510"/>
      <c r="L630" s="510"/>
      <c r="M630" s="510"/>
    </row>
    <row r="631">
      <c r="I631" s="510"/>
      <c r="J631" s="510"/>
      <c r="K631" s="510"/>
      <c r="L631" s="510"/>
      <c r="M631" s="510"/>
    </row>
    <row r="632">
      <c r="I632" s="510"/>
      <c r="J632" s="510"/>
      <c r="K632" s="510"/>
      <c r="L632" s="510"/>
      <c r="M632" s="510"/>
    </row>
    <row r="633">
      <c r="I633" s="510"/>
      <c r="J633" s="510"/>
      <c r="K633" s="510"/>
      <c r="L633" s="510"/>
      <c r="M633" s="510"/>
    </row>
    <row r="634">
      <c r="I634" s="510"/>
      <c r="J634" s="510"/>
      <c r="K634" s="510"/>
      <c r="L634" s="510"/>
      <c r="M634" s="510"/>
    </row>
    <row r="635">
      <c r="I635" s="510"/>
      <c r="J635" s="510"/>
      <c r="K635" s="510"/>
      <c r="L635" s="510"/>
      <c r="M635" s="510"/>
    </row>
    <row r="636">
      <c r="I636" s="510"/>
      <c r="J636" s="510"/>
      <c r="K636" s="510"/>
      <c r="L636" s="510"/>
      <c r="M636" s="510"/>
    </row>
    <row r="637">
      <c r="I637" s="510"/>
      <c r="J637" s="510"/>
      <c r="K637" s="510"/>
      <c r="L637" s="510"/>
      <c r="M637" s="510"/>
    </row>
    <row r="638">
      <c r="I638" s="510"/>
      <c r="J638" s="510"/>
      <c r="K638" s="510"/>
      <c r="L638" s="510"/>
      <c r="M638" s="510"/>
    </row>
    <row r="639">
      <c r="I639" s="510"/>
      <c r="J639" s="510"/>
      <c r="K639" s="510"/>
      <c r="L639" s="510"/>
      <c r="M639" s="510"/>
    </row>
    <row r="640">
      <c r="I640" s="510"/>
      <c r="J640" s="510"/>
      <c r="K640" s="510"/>
      <c r="L640" s="510"/>
      <c r="M640" s="510"/>
    </row>
    <row r="641">
      <c r="I641" s="510"/>
      <c r="J641" s="510"/>
      <c r="K641" s="510"/>
      <c r="L641" s="510"/>
      <c r="M641" s="510"/>
    </row>
    <row r="642">
      <c r="I642" s="510"/>
      <c r="J642" s="510"/>
      <c r="K642" s="510"/>
      <c r="L642" s="510"/>
      <c r="M642" s="510"/>
    </row>
    <row r="643">
      <c r="I643" s="510"/>
      <c r="J643" s="510"/>
      <c r="K643" s="510"/>
      <c r="L643" s="510"/>
      <c r="M643" s="510"/>
    </row>
    <row r="644">
      <c r="I644" s="510"/>
      <c r="J644" s="510"/>
      <c r="K644" s="510"/>
      <c r="L644" s="510"/>
      <c r="M644" s="510"/>
    </row>
    <row r="645">
      <c r="I645" s="510"/>
      <c r="J645" s="510"/>
      <c r="K645" s="510"/>
      <c r="L645" s="510"/>
      <c r="M645" s="510"/>
    </row>
    <row r="646">
      <c r="I646" s="510"/>
      <c r="J646" s="510"/>
      <c r="K646" s="510"/>
      <c r="L646" s="510"/>
      <c r="M646" s="510"/>
    </row>
    <row r="647">
      <c r="I647" s="510"/>
      <c r="J647" s="510"/>
      <c r="K647" s="510"/>
      <c r="L647" s="510"/>
      <c r="M647" s="510"/>
    </row>
    <row r="648">
      <c r="I648" s="510"/>
      <c r="J648" s="510"/>
      <c r="K648" s="510"/>
      <c r="L648" s="510"/>
      <c r="M648" s="510"/>
    </row>
    <row r="649">
      <c r="I649" s="510"/>
      <c r="J649" s="510"/>
      <c r="K649" s="510"/>
      <c r="L649" s="510"/>
      <c r="M649" s="510"/>
    </row>
    <row r="650">
      <c r="I650" s="510"/>
      <c r="J650" s="510"/>
      <c r="K650" s="510"/>
      <c r="L650" s="510"/>
      <c r="M650" s="510"/>
    </row>
    <row r="651">
      <c r="I651" s="510"/>
      <c r="J651" s="510"/>
      <c r="K651" s="510"/>
      <c r="L651" s="510"/>
      <c r="M651" s="510"/>
    </row>
    <row r="652">
      <c r="I652" s="510"/>
      <c r="J652" s="510"/>
      <c r="K652" s="510"/>
      <c r="L652" s="510"/>
      <c r="M652" s="510"/>
    </row>
    <row r="653">
      <c r="I653" s="510"/>
      <c r="J653" s="510"/>
      <c r="K653" s="510"/>
      <c r="L653" s="510"/>
      <c r="M653" s="510"/>
    </row>
    <row r="654">
      <c r="I654" s="510"/>
      <c r="J654" s="510"/>
      <c r="K654" s="510"/>
      <c r="L654" s="510"/>
      <c r="M654" s="510"/>
    </row>
    <row r="655">
      <c r="I655" s="510"/>
      <c r="J655" s="510"/>
      <c r="K655" s="510"/>
      <c r="L655" s="510"/>
      <c r="M655" s="510"/>
    </row>
    <row r="656">
      <c r="I656" s="510"/>
      <c r="J656" s="510"/>
      <c r="K656" s="510"/>
      <c r="L656" s="510"/>
      <c r="M656" s="510"/>
    </row>
    <row r="657">
      <c r="I657" s="510"/>
      <c r="J657" s="510"/>
      <c r="K657" s="510"/>
      <c r="L657" s="510"/>
      <c r="M657" s="510"/>
    </row>
    <row r="658">
      <c r="I658" s="510"/>
      <c r="J658" s="510"/>
      <c r="K658" s="510"/>
      <c r="L658" s="510"/>
      <c r="M658" s="510"/>
    </row>
    <row r="659">
      <c r="I659" s="510"/>
      <c r="J659" s="510"/>
      <c r="K659" s="510"/>
      <c r="L659" s="510"/>
      <c r="M659" s="510"/>
    </row>
    <row r="660">
      <c r="I660" s="510"/>
      <c r="J660" s="510"/>
      <c r="K660" s="510"/>
      <c r="L660" s="510"/>
      <c r="M660" s="510"/>
    </row>
    <row r="661">
      <c r="I661" s="510"/>
      <c r="J661" s="510"/>
      <c r="K661" s="510"/>
      <c r="L661" s="510"/>
      <c r="M661" s="510"/>
    </row>
    <row r="662">
      <c r="I662" s="510"/>
      <c r="J662" s="510"/>
      <c r="K662" s="510"/>
      <c r="L662" s="510"/>
      <c r="M662" s="510"/>
    </row>
    <row r="663">
      <c r="I663" s="510"/>
      <c r="J663" s="510"/>
      <c r="K663" s="510"/>
      <c r="L663" s="510"/>
      <c r="M663" s="510"/>
    </row>
    <row r="664">
      <c r="I664" s="510"/>
      <c r="J664" s="510"/>
      <c r="K664" s="510"/>
      <c r="L664" s="510"/>
      <c r="M664" s="510"/>
    </row>
    <row r="665">
      <c r="I665" s="510"/>
      <c r="J665" s="510"/>
      <c r="K665" s="510"/>
      <c r="L665" s="510"/>
      <c r="M665" s="510"/>
    </row>
    <row r="666">
      <c r="I666" s="510"/>
      <c r="J666" s="510"/>
      <c r="K666" s="510"/>
      <c r="L666" s="510"/>
      <c r="M666" s="510"/>
    </row>
    <row r="667">
      <c r="I667" s="510"/>
      <c r="J667" s="510"/>
      <c r="K667" s="510"/>
      <c r="L667" s="510"/>
      <c r="M667" s="510"/>
    </row>
    <row r="668">
      <c r="I668" s="510"/>
      <c r="J668" s="510"/>
      <c r="K668" s="510"/>
      <c r="L668" s="510"/>
      <c r="M668" s="510"/>
    </row>
    <row r="669">
      <c r="I669" s="510"/>
      <c r="J669" s="510"/>
      <c r="K669" s="510"/>
      <c r="L669" s="510"/>
      <c r="M669" s="510"/>
    </row>
    <row r="670">
      <c r="I670" s="510"/>
      <c r="J670" s="510"/>
      <c r="K670" s="510"/>
      <c r="L670" s="510"/>
      <c r="M670" s="510"/>
    </row>
    <row r="671">
      <c r="I671" s="510"/>
      <c r="J671" s="510"/>
      <c r="K671" s="510"/>
      <c r="L671" s="510"/>
      <c r="M671" s="510"/>
    </row>
    <row r="672">
      <c r="I672" s="510"/>
      <c r="J672" s="510"/>
      <c r="K672" s="510"/>
      <c r="L672" s="510"/>
      <c r="M672" s="510"/>
    </row>
    <row r="673">
      <c r="I673" s="510"/>
      <c r="J673" s="510"/>
      <c r="K673" s="510"/>
      <c r="L673" s="510"/>
      <c r="M673" s="510"/>
    </row>
    <row r="674">
      <c r="I674" s="510"/>
      <c r="J674" s="510"/>
      <c r="K674" s="510"/>
      <c r="L674" s="510"/>
      <c r="M674" s="510"/>
    </row>
    <row r="675">
      <c r="I675" s="510"/>
      <c r="J675" s="510"/>
      <c r="K675" s="510"/>
      <c r="L675" s="510"/>
      <c r="M675" s="510"/>
    </row>
    <row r="676">
      <c r="I676" s="510"/>
      <c r="J676" s="510"/>
      <c r="K676" s="510"/>
      <c r="L676" s="510"/>
      <c r="M676" s="510"/>
    </row>
    <row r="677">
      <c r="I677" s="510"/>
      <c r="J677" s="510"/>
      <c r="K677" s="510"/>
      <c r="L677" s="510"/>
      <c r="M677" s="510"/>
    </row>
    <row r="678">
      <c r="I678" s="510"/>
      <c r="J678" s="510"/>
      <c r="K678" s="510"/>
      <c r="L678" s="510"/>
      <c r="M678" s="510"/>
    </row>
    <row r="679">
      <c r="I679" s="510"/>
      <c r="J679" s="510"/>
      <c r="K679" s="510"/>
      <c r="L679" s="510"/>
      <c r="M679" s="510"/>
    </row>
    <row r="680">
      <c r="I680" s="510"/>
      <c r="J680" s="510"/>
      <c r="K680" s="510"/>
      <c r="L680" s="510"/>
      <c r="M680" s="510"/>
    </row>
    <row r="681">
      <c r="I681" s="510"/>
      <c r="J681" s="510"/>
      <c r="K681" s="510"/>
      <c r="L681" s="510"/>
      <c r="M681" s="510"/>
    </row>
    <row r="682">
      <c r="I682" s="510"/>
      <c r="J682" s="510"/>
      <c r="K682" s="510"/>
      <c r="L682" s="510"/>
      <c r="M682" s="510"/>
    </row>
    <row r="683">
      <c r="I683" s="510"/>
      <c r="J683" s="510"/>
      <c r="K683" s="510"/>
      <c r="L683" s="510"/>
      <c r="M683" s="510"/>
    </row>
    <row r="684">
      <c r="I684" s="510"/>
      <c r="J684" s="510"/>
      <c r="K684" s="510"/>
      <c r="L684" s="510"/>
      <c r="M684" s="510"/>
    </row>
    <row r="685">
      <c r="I685" s="510"/>
      <c r="J685" s="510"/>
      <c r="K685" s="510"/>
      <c r="L685" s="510"/>
      <c r="M685" s="510"/>
    </row>
    <row r="686">
      <c r="I686" s="510"/>
      <c r="J686" s="510"/>
      <c r="K686" s="510"/>
      <c r="L686" s="510"/>
      <c r="M686" s="510"/>
    </row>
    <row r="687">
      <c r="I687" s="510"/>
      <c r="J687" s="510"/>
      <c r="K687" s="510"/>
      <c r="L687" s="510"/>
      <c r="M687" s="510"/>
    </row>
    <row r="688">
      <c r="I688" s="510"/>
      <c r="J688" s="510"/>
      <c r="K688" s="510"/>
      <c r="L688" s="510"/>
      <c r="M688" s="510"/>
    </row>
    <row r="689">
      <c r="I689" s="510"/>
      <c r="J689" s="510"/>
      <c r="K689" s="510"/>
      <c r="L689" s="510"/>
      <c r="M689" s="510"/>
    </row>
    <row r="690">
      <c r="I690" s="510"/>
      <c r="J690" s="510"/>
      <c r="K690" s="510"/>
      <c r="L690" s="510"/>
      <c r="M690" s="510"/>
    </row>
    <row r="691">
      <c r="I691" s="510"/>
      <c r="J691" s="510"/>
      <c r="K691" s="510"/>
      <c r="L691" s="510"/>
      <c r="M691" s="510"/>
    </row>
    <row r="692">
      <c r="I692" s="510"/>
      <c r="J692" s="510"/>
      <c r="K692" s="510"/>
      <c r="L692" s="510"/>
      <c r="M692" s="510"/>
    </row>
    <row r="693">
      <c r="I693" s="510"/>
      <c r="J693" s="510"/>
      <c r="K693" s="510"/>
      <c r="L693" s="510"/>
      <c r="M693" s="510"/>
    </row>
    <row r="694">
      <c r="I694" s="510"/>
      <c r="J694" s="510"/>
      <c r="K694" s="510"/>
      <c r="L694" s="510"/>
      <c r="M694" s="510"/>
    </row>
    <row r="695">
      <c r="I695" s="510"/>
      <c r="J695" s="510"/>
      <c r="K695" s="510"/>
      <c r="L695" s="510"/>
      <c r="M695" s="510"/>
    </row>
    <row r="696">
      <c r="I696" s="510"/>
      <c r="J696" s="510"/>
      <c r="K696" s="510"/>
      <c r="L696" s="510"/>
      <c r="M696" s="510"/>
    </row>
    <row r="697">
      <c r="I697" s="510"/>
      <c r="J697" s="510"/>
      <c r="K697" s="510"/>
      <c r="L697" s="510"/>
      <c r="M697" s="510"/>
    </row>
    <row r="698">
      <c r="I698" s="510"/>
      <c r="J698" s="510"/>
      <c r="K698" s="510"/>
      <c r="L698" s="510"/>
      <c r="M698" s="510"/>
    </row>
    <row r="699">
      <c r="I699" s="510"/>
      <c r="J699" s="510"/>
      <c r="K699" s="510"/>
      <c r="L699" s="510"/>
      <c r="M699" s="510"/>
    </row>
    <row r="700">
      <c r="I700" s="510"/>
      <c r="J700" s="510"/>
      <c r="K700" s="510"/>
      <c r="L700" s="510"/>
      <c r="M700" s="510"/>
    </row>
    <row r="701">
      <c r="I701" s="510"/>
      <c r="J701" s="510"/>
      <c r="K701" s="510"/>
      <c r="L701" s="510"/>
      <c r="M701" s="510"/>
    </row>
    <row r="702">
      <c r="I702" s="510"/>
      <c r="J702" s="510"/>
      <c r="K702" s="510"/>
      <c r="L702" s="510"/>
      <c r="M702" s="510"/>
    </row>
    <row r="703">
      <c r="I703" s="510"/>
      <c r="J703" s="510"/>
      <c r="K703" s="510"/>
      <c r="L703" s="510"/>
      <c r="M703" s="510"/>
    </row>
    <row r="704">
      <c r="I704" s="510"/>
      <c r="J704" s="510"/>
      <c r="K704" s="510"/>
      <c r="L704" s="510"/>
      <c r="M704" s="510"/>
    </row>
    <row r="705">
      <c r="I705" s="510"/>
      <c r="J705" s="510"/>
      <c r="K705" s="510"/>
      <c r="L705" s="510"/>
      <c r="M705" s="510"/>
    </row>
    <row r="706">
      <c r="I706" s="510"/>
      <c r="J706" s="510"/>
      <c r="K706" s="510"/>
      <c r="L706" s="510"/>
      <c r="M706" s="510"/>
    </row>
    <row r="707">
      <c r="I707" s="510"/>
      <c r="J707" s="510"/>
      <c r="K707" s="510"/>
      <c r="L707" s="510"/>
      <c r="M707" s="510"/>
    </row>
    <row r="708">
      <c r="I708" s="510"/>
      <c r="J708" s="510"/>
      <c r="K708" s="510"/>
      <c r="L708" s="510"/>
      <c r="M708" s="510"/>
    </row>
    <row r="709">
      <c r="I709" s="510"/>
      <c r="J709" s="510"/>
      <c r="K709" s="510"/>
      <c r="L709" s="510"/>
      <c r="M709" s="510"/>
    </row>
    <row r="710">
      <c r="I710" s="510"/>
      <c r="J710" s="510"/>
      <c r="K710" s="510"/>
      <c r="L710" s="510"/>
      <c r="M710" s="510"/>
    </row>
    <row r="711">
      <c r="I711" s="510"/>
      <c r="J711" s="510"/>
      <c r="K711" s="510"/>
      <c r="L711" s="510"/>
      <c r="M711" s="510"/>
    </row>
    <row r="712">
      <c r="I712" s="510"/>
      <c r="J712" s="510"/>
      <c r="K712" s="510"/>
      <c r="L712" s="510"/>
      <c r="M712" s="510"/>
    </row>
    <row r="713">
      <c r="I713" s="510"/>
      <c r="J713" s="510"/>
      <c r="K713" s="510"/>
      <c r="L713" s="510"/>
      <c r="M713" s="510"/>
    </row>
    <row r="714">
      <c r="I714" s="510"/>
      <c r="J714" s="510"/>
      <c r="K714" s="510"/>
      <c r="L714" s="510"/>
      <c r="M714" s="510"/>
    </row>
    <row r="715">
      <c r="I715" s="510"/>
      <c r="J715" s="510"/>
      <c r="K715" s="510"/>
      <c r="L715" s="510"/>
      <c r="M715" s="510"/>
    </row>
    <row r="716">
      <c r="I716" s="510"/>
      <c r="J716" s="510"/>
      <c r="K716" s="510"/>
      <c r="L716" s="510"/>
      <c r="M716" s="510"/>
    </row>
    <row r="717">
      <c r="I717" s="510"/>
      <c r="J717" s="510"/>
      <c r="K717" s="510"/>
      <c r="L717" s="510"/>
      <c r="M717" s="510"/>
    </row>
    <row r="718">
      <c r="I718" s="510"/>
      <c r="J718" s="510"/>
      <c r="K718" s="510"/>
      <c r="L718" s="510"/>
      <c r="M718" s="510"/>
    </row>
    <row r="719">
      <c r="I719" s="510"/>
      <c r="J719" s="510"/>
      <c r="K719" s="510"/>
      <c r="L719" s="510"/>
      <c r="M719" s="510"/>
    </row>
    <row r="720">
      <c r="I720" s="510"/>
      <c r="J720" s="510"/>
      <c r="K720" s="510"/>
      <c r="L720" s="510"/>
      <c r="M720" s="510"/>
    </row>
    <row r="721">
      <c r="I721" s="510"/>
      <c r="J721" s="510"/>
      <c r="K721" s="510"/>
      <c r="L721" s="510"/>
      <c r="M721" s="510"/>
    </row>
    <row r="722">
      <c r="I722" s="510"/>
      <c r="J722" s="510"/>
      <c r="K722" s="510"/>
      <c r="L722" s="510"/>
      <c r="M722" s="510"/>
    </row>
    <row r="723">
      <c r="I723" s="510"/>
      <c r="J723" s="510"/>
      <c r="K723" s="510"/>
      <c r="L723" s="510"/>
      <c r="M723" s="510"/>
    </row>
    <row r="724">
      <c r="I724" s="510"/>
      <c r="J724" s="510"/>
      <c r="K724" s="510"/>
      <c r="L724" s="510"/>
      <c r="M724" s="510"/>
    </row>
    <row r="725">
      <c r="I725" s="510"/>
      <c r="J725" s="510"/>
      <c r="K725" s="510"/>
      <c r="L725" s="510"/>
      <c r="M725" s="510"/>
    </row>
    <row r="726">
      <c r="I726" s="510"/>
      <c r="J726" s="510"/>
      <c r="K726" s="510"/>
      <c r="L726" s="510"/>
      <c r="M726" s="510"/>
    </row>
    <row r="727">
      <c r="I727" s="510"/>
      <c r="J727" s="510"/>
      <c r="K727" s="510"/>
      <c r="L727" s="510"/>
      <c r="M727" s="510"/>
    </row>
    <row r="728">
      <c r="I728" s="510"/>
      <c r="J728" s="510"/>
      <c r="K728" s="510"/>
      <c r="L728" s="510"/>
      <c r="M728" s="510"/>
    </row>
    <row r="729">
      <c r="I729" s="510"/>
      <c r="J729" s="510"/>
      <c r="K729" s="510"/>
      <c r="L729" s="510"/>
      <c r="M729" s="510"/>
    </row>
    <row r="730">
      <c r="I730" s="510"/>
      <c r="J730" s="510"/>
      <c r="K730" s="510"/>
      <c r="L730" s="510"/>
      <c r="M730" s="510"/>
    </row>
    <row r="731">
      <c r="I731" s="510"/>
      <c r="J731" s="510"/>
      <c r="K731" s="510"/>
      <c r="L731" s="510"/>
      <c r="M731" s="510"/>
    </row>
    <row r="732">
      <c r="I732" s="510"/>
      <c r="J732" s="510"/>
      <c r="K732" s="510"/>
      <c r="L732" s="510"/>
      <c r="M732" s="510"/>
    </row>
    <row r="733">
      <c r="I733" s="510"/>
      <c r="J733" s="510"/>
      <c r="K733" s="510"/>
      <c r="L733" s="510"/>
      <c r="M733" s="510"/>
    </row>
    <row r="734">
      <c r="I734" s="510"/>
      <c r="J734" s="510"/>
      <c r="K734" s="510"/>
      <c r="L734" s="510"/>
      <c r="M734" s="510"/>
    </row>
    <row r="735">
      <c r="I735" s="510"/>
      <c r="J735" s="510"/>
      <c r="K735" s="510"/>
      <c r="L735" s="510"/>
      <c r="M735" s="510"/>
    </row>
    <row r="736">
      <c r="I736" s="510"/>
      <c r="J736" s="510"/>
      <c r="K736" s="510"/>
      <c r="L736" s="510"/>
      <c r="M736" s="510"/>
    </row>
    <row r="737">
      <c r="I737" s="510"/>
      <c r="J737" s="510"/>
      <c r="K737" s="510"/>
      <c r="L737" s="510"/>
      <c r="M737" s="510"/>
    </row>
    <row r="738">
      <c r="I738" s="510"/>
      <c r="J738" s="510"/>
      <c r="K738" s="510"/>
      <c r="L738" s="510"/>
      <c r="M738" s="510"/>
    </row>
    <row r="739">
      <c r="I739" s="510"/>
      <c r="J739" s="510"/>
      <c r="K739" s="510"/>
      <c r="L739" s="510"/>
      <c r="M739" s="510"/>
    </row>
    <row r="740">
      <c r="I740" s="510"/>
      <c r="J740" s="510"/>
      <c r="K740" s="510"/>
      <c r="L740" s="510"/>
      <c r="M740" s="510"/>
    </row>
    <row r="741">
      <c r="I741" s="510"/>
      <c r="J741" s="510"/>
      <c r="K741" s="510"/>
      <c r="L741" s="510"/>
      <c r="M741" s="510"/>
    </row>
    <row r="742">
      <c r="I742" s="510"/>
      <c r="J742" s="510"/>
      <c r="K742" s="510"/>
      <c r="L742" s="510"/>
      <c r="M742" s="510"/>
    </row>
    <row r="743">
      <c r="I743" s="510"/>
      <c r="J743" s="510"/>
      <c r="K743" s="510"/>
      <c r="L743" s="510"/>
      <c r="M743" s="510"/>
    </row>
    <row r="744">
      <c r="I744" s="510"/>
      <c r="J744" s="510"/>
      <c r="K744" s="510"/>
      <c r="L744" s="510"/>
      <c r="M744" s="510"/>
    </row>
    <row r="745">
      <c r="I745" s="510"/>
      <c r="J745" s="510"/>
      <c r="K745" s="510"/>
      <c r="L745" s="510"/>
      <c r="M745" s="510"/>
    </row>
    <row r="746">
      <c r="I746" s="510"/>
      <c r="J746" s="510"/>
      <c r="K746" s="510"/>
      <c r="L746" s="510"/>
      <c r="M746" s="510"/>
    </row>
    <row r="747">
      <c r="I747" s="510"/>
      <c r="J747" s="510"/>
      <c r="K747" s="510"/>
      <c r="L747" s="510"/>
      <c r="M747" s="510"/>
    </row>
    <row r="748">
      <c r="I748" s="510"/>
      <c r="J748" s="510"/>
      <c r="K748" s="510"/>
      <c r="L748" s="510"/>
      <c r="M748" s="510"/>
    </row>
    <row r="749">
      <c r="I749" s="510"/>
      <c r="J749" s="510"/>
      <c r="K749" s="510"/>
      <c r="L749" s="510"/>
      <c r="M749" s="510"/>
    </row>
    <row r="750">
      <c r="I750" s="510"/>
      <c r="J750" s="510"/>
      <c r="K750" s="510"/>
      <c r="L750" s="510"/>
      <c r="M750" s="510"/>
    </row>
    <row r="751">
      <c r="I751" s="510"/>
      <c r="J751" s="510"/>
      <c r="K751" s="510"/>
      <c r="L751" s="510"/>
      <c r="M751" s="510"/>
    </row>
    <row r="752">
      <c r="I752" s="510"/>
      <c r="J752" s="510"/>
      <c r="K752" s="510"/>
      <c r="L752" s="510"/>
      <c r="M752" s="510"/>
    </row>
    <row r="753">
      <c r="I753" s="510"/>
      <c r="J753" s="510"/>
      <c r="K753" s="510"/>
      <c r="L753" s="510"/>
      <c r="M753" s="510"/>
    </row>
    <row r="754">
      <c r="I754" s="510"/>
      <c r="J754" s="510"/>
      <c r="K754" s="510"/>
      <c r="L754" s="510"/>
      <c r="M754" s="510"/>
    </row>
    <row r="755">
      <c r="I755" s="510"/>
      <c r="J755" s="510"/>
      <c r="K755" s="510"/>
      <c r="L755" s="510"/>
      <c r="M755" s="510"/>
    </row>
    <row r="756">
      <c r="I756" s="510"/>
      <c r="J756" s="510"/>
      <c r="K756" s="510"/>
      <c r="L756" s="510"/>
      <c r="M756" s="510"/>
    </row>
    <row r="757">
      <c r="I757" s="510"/>
      <c r="J757" s="510"/>
      <c r="K757" s="510"/>
      <c r="L757" s="510"/>
      <c r="M757" s="510"/>
    </row>
    <row r="758">
      <c r="I758" s="510"/>
      <c r="J758" s="510"/>
      <c r="K758" s="510"/>
      <c r="L758" s="510"/>
      <c r="M758" s="510"/>
    </row>
    <row r="759">
      <c r="I759" s="510"/>
      <c r="J759" s="510"/>
      <c r="K759" s="510"/>
      <c r="L759" s="510"/>
      <c r="M759" s="510"/>
    </row>
    <row r="760">
      <c r="I760" s="510"/>
      <c r="J760" s="510"/>
      <c r="K760" s="510"/>
      <c r="L760" s="510"/>
      <c r="M760" s="510"/>
    </row>
    <row r="761">
      <c r="I761" s="510"/>
      <c r="J761" s="510"/>
      <c r="K761" s="510"/>
      <c r="L761" s="510"/>
      <c r="M761" s="510"/>
    </row>
    <row r="762">
      <c r="I762" s="510"/>
      <c r="J762" s="510"/>
      <c r="K762" s="510"/>
      <c r="L762" s="510"/>
      <c r="M762" s="510"/>
    </row>
    <row r="763">
      <c r="I763" s="510"/>
      <c r="J763" s="510"/>
      <c r="K763" s="510"/>
      <c r="L763" s="510"/>
      <c r="M763" s="510"/>
    </row>
    <row r="764">
      <c r="I764" s="510"/>
      <c r="J764" s="510"/>
      <c r="K764" s="510"/>
      <c r="L764" s="510"/>
      <c r="M764" s="510"/>
    </row>
    <row r="765">
      <c r="I765" s="510"/>
      <c r="J765" s="510"/>
      <c r="K765" s="510"/>
      <c r="L765" s="510"/>
      <c r="M765" s="510"/>
    </row>
    <row r="766">
      <c r="I766" s="510"/>
      <c r="J766" s="510"/>
      <c r="K766" s="510"/>
      <c r="L766" s="510"/>
      <c r="M766" s="510"/>
    </row>
    <row r="767">
      <c r="I767" s="510"/>
      <c r="J767" s="510"/>
      <c r="K767" s="510"/>
      <c r="L767" s="510"/>
      <c r="M767" s="510"/>
    </row>
    <row r="768">
      <c r="I768" s="510"/>
      <c r="J768" s="510"/>
      <c r="K768" s="510"/>
      <c r="L768" s="510"/>
      <c r="M768" s="510"/>
    </row>
    <row r="769">
      <c r="I769" s="510"/>
      <c r="J769" s="510"/>
      <c r="K769" s="510"/>
      <c r="L769" s="510"/>
      <c r="M769" s="510"/>
    </row>
    <row r="770">
      <c r="I770" s="510"/>
      <c r="J770" s="510"/>
      <c r="K770" s="510"/>
      <c r="L770" s="510"/>
      <c r="M770" s="510"/>
    </row>
    <row r="771">
      <c r="I771" s="510"/>
      <c r="J771" s="510"/>
      <c r="K771" s="510"/>
      <c r="L771" s="510"/>
      <c r="M771" s="510"/>
    </row>
    <row r="772">
      <c r="I772" s="510"/>
      <c r="J772" s="510"/>
      <c r="K772" s="510"/>
      <c r="L772" s="510"/>
      <c r="M772" s="510"/>
    </row>
    <row r="773">
      <c r="I773" s="510"/>
      <c r="J773" s="510"/>
      <c r="K773" s="510"/>
      <c r="L773" s="510"/>
      <c r="M773" s="510"/>
    </row>
    <row r="774">
      <c r="I774" s="510"/>
      <c r="J774" s="510"/>
      <c r="K774" s="510"/>
      <c r="L774" s="510"/>
      <c r="M774" s="510"/>
    </row>
    <row r="775">
      <c r="I775" s="510"/>
      <c r="J775" s="510"/>
      <c r="K775" s="510"/>
      <c r="L775" s="510"/>
      <c r="M775" s="510"/>
    </row>
    <row r="776">
      <c r="I776" s="510"/>
      <c r="J776" s="510"/>
      <c r="K776" s="510"/>
      <c r="L776" s="510"/>
      <c r="M776" s="510"/>
    </row>
    <row r="777">
      <c r="I777" s="510"/>
      <c r="J777" s="510"/>
      <c r="K777" s="510"/>
      <c r="L777" s="510"/>
      <c r="M777" s="510"/>
    </row>
    <row r="778">
      <c r="I778" s="510"/>
      <c r="J778" s="510"/>
      <c r="K778" s="510"/>
      <c r="L778" s="510"/>
      <c r="M778" s="510"/>
    </row>
    <row r="779">
      <c r="I779" s="510"/>
      <c r="J779" s="510"/>
      <c r="K779" s="510"/>
      <c r="L779" s="510"/>
      <c r="M779" s="510"/>
    </row>
    <row r="780">
      <c r="I780" s="510"/>
      <c r="J780" s="510"/>
      <c r="K780" s="510"/>
      <c r="L780" s="510"/>
      <c r="M780" s="510"/>
    </row>
    <row r="781">
      <c r="I781" s="510"/>
      <c r="J781" s="510"/>
      <c r="K781" s="510"/>
      <c r="L781" s="510"/>
      <c r="M781" s="510"/>
    </row>
    <row r="782">
      <c r="I782" s="510"/>
      <c r="J782" s="510"/>
      <c r="K782" s="510"/>
      <c r="L782" s="510"/>
      <c r="M782" s="510"/>
    </row>
    <row r="783">
      <c r="I783" s="510"/>
      <c r="J783" s="510"/>
      <c r="K783" s="510"/>
      <c r="L783" s="510"/>
      <c r="M783" s="510"/>
    </row>
    <row r="784">
      <c r="I784" s="510"/>
      <c r="J784" s="510"/>
      <c r="K784" s="510"/>
      <c r="L784" s="510"/>
      <c r="M784" s="510"/>
    </row>
    <row r="785">
      <c r="I785" s="510"/>
      <c r="J785" s="510"/>
      <c r="K785" s="510"/>
      <c r="L785" s="510"/>
      <c r="M785" s="510"/>
    </row>
    <row r="786">
      <c r="I786" s="510"/>
      <c r="J786" s="510"/>
      <c r="K786" s="510"/>
      <c r="L786" s="510"/>
      <c r="M786" s="510"/>
    </row>
    <row r="787">
      <c r="I787" s="510"/>
      <c r="J787" s="510"/>
      <c r="K787" s="510"/>
      <c r="L787" s="510"/>
      <c r="M787" s="510"/>
    </row>
    <row r="788">
      <c r="I788" s="510"/>
      <c r="J788" s="510"/>
      <c r="K788" s="510"/>
      <c r="L788" s="510"/>
      <c r="M788" s="510"/>
    </row>
    <row r="789">
      <c r="I789" s="510"/>
      <c r="J789" s="510"/>
      <c r="K789" s="510"/>
      <c r="L789" s="510"/>
      <c r="M789" s="510"/>
    </row>
    <row r="790">
      <c r="I790" s="510"/>
      <c r="J790" s="510"/>
      <c r="K790" s="510"/>
      <c r="L790" s="510"/>
      <c r="M790" s="510"/>
    </row>
    <row r="791">
      <c r="I791" s="510"/>
      <c r="J791" s="510"/>
      <c r="K791" s="510"/>
      <c r="L791" s="510"/>
      <c r="M791" s="510"/>
    </row>
    <row r="792">
      <c r="I792" s="510"/>
      <c r="J792" s="510"/>
      <c r="K792" s="510"/>
      <c r="L792" s="510"/>
      <c r="M792" s="510"/>
    </row>
    <row r="793">
      <c r="I793" s="510"/>
      <c r="J793" s="510"/>
      <c r="K793" s="510"/>
      <c r="L793" s="510"/>
      <c r="M793" s="510"/>
    </row>
    <row r="794">
      <c r="I794" s="510"/>
      <c r="J794" s="510"/>
      <c r="K794" s="510"/>
      <c r="L794" s="510"/>
      <c r="M794" s="510"/>
    </row>
    <row r="795">
      <c r="I795" s="510"/>
      <c r="J795" s="510"/>
      <c r="K795" s="510"/>
      <c r="L795" s="510"/>
      <c r="M795" s="510"/>
    </row>
    <row r="796">
      <c r="I796" s="510"/>
      <c r="J796" s="510"/>
      <c r="K796" s="510"/>
      <c r="L796" s="510"/>
      <c r="M796" s="510"/>
    </row>
    <row r="797">
      <c r="I797" s="510"/>
      <c r="J797" s="510"/>
      <c r="K797" s="510"/>
      <c r="L797" s="510"/>
      <c r="M797" s="510"/>
    </row>
    <row r="798">
      <c r="I798" s="510"/>
      <c r="J798" s="510"/>
      <c r="K798" s="510"/>
      <c r="L798" s="510"/>
      <c r="M798" s="510"/>
    </row>
    <row r="799">
      <c r="I799" s="510"/>
      <c r="J799" s="510"/>
      <c r="K799" s="510"/>
      <c r="L799" s="510"/>
      <c r="M799" s="510"/>
    </row>
    <row r="800">
      <c r="I800" s="510"/>
      <c r="J800" s="510"/>
      <c r="K800" s="510"/>
      <c r="L800" s="510"/>
      <c r="M800" s="510"/>
    </row>
    <row r="801">
      <c r="I801" s="510"/>
      <c r="J801" s="510"/>
      <c r="K801" s="510"/>
      <c r="L801" s="510"/>
      <c r="M801" s="510"/>
    </row>
    <row r="802">
      <c r="I802" s="510"/>
      <c r="J802" s="510"/>
      <c r="K802" s="510"/>
      <c r="L802" s="510"/>
      <c r="M802" s="510"/>
    </row>
    <row r="803">
      <c r="I803" s="510"/>
      <c r="J803" s="510"/>
      <c r="K803" s="510"/>
      <c r="L803" s="510"/>
      <c r="M803" s="510"/>
    </row>
    <row r="804">
      <c r="I804" s="510"/>
      <c r="J804" s="510"/>
      <c r="K804" s="510"/>
      <c r="L804" s="510"/>
      <c r="M804" s="510"/>
    </row>
    <row r="805">
      <c r="I805" s="510"/>
      <c r="J805" s="510"/>
      <c r="K805" s="510"/>
      <c r="L805" s="510"/>
      <c r="M805" s="510"/>
    </row>
    <row r="806">
      <c r="I806" s="510"/>
      <c r="J806" s="510"/>
      <c r="K806" s="510"/>
      <c r="L806" s="510"/>
      <c r="M806" s="510"/>
    </row>
    <row r="807">
      <c r="I807" s="510"/>
      <c r="J807" s="510"/>
      <c r="K807" s="510"/>
      <c r="L807" s="510"/>
      <c r="M807" s="510"/>
    </row>
    <row r="808">
      <c r="I808" s="510"/>
      <c r="J808" s="510"/>
      <c r="K808" s="510"/>
      <c r="L808" s="510"/>
      <c r="M808" s="510"/>
    </row>
    <row r="809">
      <c r="I809" s="510"/>
      <c r="J809" s="510"/>
      <c r="K809" s="510"/>
      <c r="L809" s="510"/>
      <c r="M809" s="510"/>
    </row>
    <row r="810">
      <c r="I810" s="510"/>
      <c r="J810" s="510"/>
      <c r="K810" s="510"/>
      <c r="L810" s="510"/>
      <c r="M810" s="510"/>
    </row>
    <row r="811">
      <c r="I811" s="510"/>
      <c r="J811" s="510"/>
      <c r="K811" s="510"/>
      <c r="L811" s="510"/>
      <c r="M811" s="510"/>
    </row>
    <row r="812">
      <c r="I812" s="510"/>
      <c r="J812" s="510"/>
      <c r="K812" s="510"/>
      <c r="L812" s="510"/>
      <c r="M812" s="510"/>
    </row>
    <row r="813">
      <c r="I813" s="510"/>
      <c r="J813" s="510"/>
      <c r="K813" s="510"/>
      <c r="L813" s="510"/>
      <c r="M813" s="510"/>
    </row>
    <row r="814">
      <c r="I814" s="510"/>
      <c r="J814" s="510"/>
      <c r="K814" s="510"/>
      <c r="L814" s="510"/>
      <c r="M814" s="510"/>
    </row>
    <row r="815">
      <c r="I815" s="510"/>
      <c r="J815" s="510"/>
      <c r="K815" s="510"/>
      <c r="L815" s="510"/>
      <c r="M815" s="510"/>
    </row>
    <row r="816">
      <c r="I816" s="510"/>
      <c r="J816" s="510"/>
      <c r="K816" s="510"/>
      <c r="L816" s="510"/>
      <c r="M816" s="510"/>
    </row>
    <row r="817">
      <c r="I817" s="510"/>
      <c r="J817" s="510"/>
      <c r="K817" s="510"/>
      <c r="L817" s="510"/>
      <c r="M817" s="510"/>
    </row>
    <row r="818">
      <c r="I818" s="510"/>
      <c r="J818" s="510"/>
      <c r="K818" s="510"/>
      <c r="L818" s="510"/>
      <c r="M818" s="510"/>
    </row>
    <row r="819">
      <c r="I819" s="510"/>
      <c r="J819" s="510"/>
      <c r="K819" s="510"/>
      <c r="L819" s="510"/>
      <c r="M819" s="510"/>
    </row>
    <row r="820">
      <c r="I820" s="510"/>
      <c r="J820" s="510"/>
      <c r="K820" s="510"/>
      <c r="L820" s="510"/>
      <c r="M820" s="510"/>
    </row>
    <row r="821">
      <c r="I821" s="510"/>
      <c r="J821" s="510"/>
      <c r="K821" s="510"/>
      <c r="L821" s="510"/>
      <c r="M821" s="510"/>
    </row>
    <row r="822">
      <c r="I822" s="510"/>
      <c r="J822" s="510"/>
      <c r="K822" s="510"/>
      <c r="L822" s="510"/>
      <c r="M822" s="510"/>
    </row>
    <row r="823">
      <c r="I823" s="510"/>
      <c r="J823" s="510"/>
      <c r="K823" s="510"/>
      <c r="L823" s="510"/>
      <c r="M823" s="510"/>
    </row>
    <row r="824">
      <c r="I824" s="510"/>
      <c r="J824" s="510"/>
      <c r="K824" s="510"/>
      <c r="L824" s="510"/>
      <c r="M824" s="510"/>
    </row>
    <row r="825">
      <c r="I825" s="510"/>
      <c r="J825" s="510"/>
      <c r="K825" s="510"/>
      <c r="L825" s="510"/>
      <c r="M825" s="510"/>
    </row>
    <row r="826">
      <c r="I826" s="510"/>
      <c r="J826" s="510"/>
      <c r="K826" s="510"/>
      <c r="L826" s="510"/>
      <c r="M826" s="510"/>
    </row>
    <row r="827">
      <c r="I827" s="510"/>
      <c r="J827" s="510"/>
      <c r="K827" s="510"/>
      <c r="L827" s="510"/>
      <c r="M827" s="510"/>
    </row>
    <row r="828">
      <c r="I828" s="510"/>
      <c r="J828" s="510"/>
      <c r="K828" s="510"/>
      <c r="L828" s="510"/>
      <c r="M828" s="510"/>
    </row>
    <row r="829">
      <c r="I829" s="510"/>
      <c r="J829" s="510"/>
      <c r="K829" s="510"/>
      <c r="L829" s="510"/>
      <c r="M829" s="510"/>
    </row>
    <row r="830">
      <c r="I830" s="510"/>
      <c r="J830" s="510"/>
      <c r="K830" s="510"/>
      <c r="L830" s="510"/>
      <c r="M830" s="510"/>
    </row>
    <row r="831">
      <c r="I831" s="510"/>
      <c r="J831" s="510"/>
      <c r="K831" s="510"/>
      <c r="L831" s="510"/>
      <c r="M831" s="510"/>
    </row>
    <row r="832">
      <c r="I832" s="510"/>
      <c r="J832" s="510"/>
      <c r="K832" s="510"/>
      <c r="L832" s="510"/>
      <c r="M832" s="510"/>
    </row>
    <row r="833">
      <c r="I833" s="510"/>
      <c r="J833" s="510"/>
      <c r="K833" s="510"/>
      <c r="L833" s="510"/>
      <c r="M833" s="510"/>
    </row>
    <row r="834">
      <c r="I834" s="510"/>
      <c r="J834" s="510"/>
      <c r="K834" s="510"/>
      <c r="L834" s="510"/>
      <c r="M834" s="510"/>
    </row>
    <row r="835">
      <c r="I835" s="510"/>
      <c r="J835" s="510"/>
      <c r="K835" s="510"/>
      <c r="L835" s="510"/>
      <c r="M835" s="510"/>
    </row>
    <row r="836">
      <c r="I836" s="510"/>
      <c r="J836" s="510"/>
      <c r="K836" s="510"/>
      <c r="L836" s="510"/>
      <c r="M836" s="510"/>
    </row>
    <row r="837">
      <c r="I837" s="510"/>
      <c r="J837" s="510"/>
      <c r="K837" s="510"/>
      <c r="L837" s="510"/>
      <c r="M837" s="510"/>
    </row>
    <row r="838">
      <c r="I838" s="510"/>
      <c r="J838" s="510"/>
      <c r="K838" s="510"/>
      <c r="L838" s="510"/>
      <c r="M838" s="510"/>
    </row>
    <row r="839">
      <c r="I839" s="510"/>
      <c r="J839" s="510"/>
      <c r="K839" s="510"/>
      <c r="L839" s="510"/>
      <c r="M839" s="510"/>
    </row>
    <row r="840">
      <c r="I840" s="510"/>
      <c r="J840" s="510"/>
      <c r="K840" s="510"/>
      <c r="L840" s="510"/>
      <c r="M840" s="510"/>
    </row>
    <row r="841">
      <c r="I841" s="510"/>
      <c r="J841" s="510"/>
      <c r="K841" s="510"/>
      <c r="L841" s="510"/>
      <c r="M841" s="510"/>
    </row>
    <row r="842">
      <c r="I842" s="510"/>
      <c r="J842" s="510"/>
      <c r="K842" s="510"/>
      <c r="L842" s="510"/>
      <c r="M842" s="510"/>
    </row>
    <row r="843">
      <c r="I843" s="510"/>
      <c r="J843" s="510"/>
      <c r="K843" s="510"/>
      <c r="L843" s="510"/>
      <c r="M843" s="510"/>
    </row>
    <row r="844">
      <c r="I844" s="510"/>
      <c r="J844" s="510"/>
      <c r="K844" s="510"/>
      <c r="L844" s="510"/>
      <c r="M844" s="510"/>
    </row>
    <row r="845">
      <c r="I845" s="510"/>
      <c r="J845" s="510"/>
      <c r="K845" s="510"/>
      <c r="L845" s="510"/>
      <c r="M845" s="510"/>
    </row>
    <row r="846">
      <c r="I846" s="510"/>
      <c r="J846" s="510"/>
      <c r="K846" s="510"/>
      <c r="L846" s="510"/>
      <c r="M846" s="510"/>
    </row>
    <row r="847">
      <c r="I847" s="510"/>
      <c r="J847" s="510"/>
      <c r="K847" s="510"/>
      <c r="L847" s="510"/>
      <c r="M847" s="510"/>
    </row>
    <row r="848">
      <c r="I848" s="510"/>
      <c r="J848" s="510"/>
      <c r="K848" s="510"/>
      <c r="L848" s="510"/>
      <c r="M848" s="510"/>
    </row>
    <row r="849">
      <c r="I849" s="510"/>
      <c r="J849" s="510"/>
      <c r="K849" s="510"/>
      <c r="L849" s="510"/>
      <c r="M849" s="510"/>
    </row>
    <row r="850">
      <c r="I850" s="510"/>
      <c r="J850" s="510"/>
      <c r="K850" s="510"/>
      <c r="L850" s="510"/>
      <c r="M850" s="510"/>
    </row>
    <row r="851">
      <c r="I851" s="510"/>
      <c r="J851" s="510"/>
      <c r="K851" s="510"/>
      <c r="L851" s="510"/>
      <c r="M851" s="510"/>
    </row>
    <row r="852">
      <c r="I852" s="510"/>
      <c r="J852" s="510"/>
      <c r="K852" s="510"/>
      <c r="L852" s="510"/>
      <c r="M852" s="510"/>
    </row>
    <row r="853">
      <c r="I853" s="510"/>
      <c r="J853" s="510"/>
      <c r="K853" s="510"/>
      <c r="L853" s="510"/>
      <c r="M853" s="510"/>
    </row>
    <row r="854">
      <c r="I854" s="510"/>
      <c r="J854" s="510"/>
      <c r="K854" s="510"/>
      <c r="L854" s="510"/>
      <c r="M854" s="510"/>
    </row>
    <row r="855">
      <c r="I855" s="510"/>
      <c r="J855" s="510"/>
      <c r="K855" s="510"/>
      <c r="L855" s="510"/>
      <c r="M855" s="510"/>
    </row>
    <row r="856">
      <c r="I856" s="510"/>
      <c r="J856" s="510"/>
      <c r="K856" s="510"/>
      <c r="L856" s="510"/>
      <c r="M856" s="510"/>
    </row>
    <row r="857">
      <c r="I857" s="510"/>
      <c r="J857" s="510"/>
      <c r="K857" s="510"/>
      <c r="L857" s="510"/>
      <c r="M857" s="510"/>
    </row>
    <row r="858">
      <c r="I858" s="510"/>
      <c r="J858" s="510"/>
      <c r="K858" s="510"/>
      <c r="L858" s="510"/>
      <c r="M858" s="510"/>
    </row>
    <row r="859">
      <c r="I859" s="510"/>
      <c r="J859" s="510"/>
      <c r="K859" s="510"/>
      <c r="L859" s="510"/>
      <c r="M859" s="510"/>
    </row>
    <row r="860">
      <c r="I860" s="510"/>
      <c r="J860" s="510"/>
      <c r="K860" s="510"/>
      <c r="L860" s="510"/>
      <c r="M860" s="510"/>
    </row>
    <row r="861">
      <c r="I861" s="510"/>
      <c r="J861" s="510"/>
      <c r="K861" s="510"/>
      <c r="L861" s="510"/>
      <c r="M861" s="510"/>
    </row>
    <row r="862">
      <c r="I862" s="510"/>
      <c r="J862" s="510"/>
      <c r="K862" s="510"/>
      <c r="L862" s="510"/>
      <c r="M862" s="510"/>
    </row>
    <row r="863">
      <c r="I863" s="510"/>
      <c r="J863" s="510"/>
      <c r="K863" s="510"/>
      <c r="L863" s="510"/>
      <c r="M863" s="510"/>
    </row>
    <row r="864">
      <c r="I864" s="510"/>
      <c r="J864" s="510"/>
      <c r="K864" s="510"/>
      <c r="L864" s="510"/>
      <c r="M864" s="510"/>
    </row>
    <row r="865">
      <c r="I865" s="510"/>
      <c r="J865" s="510"/>
      <c r="K865" s="510"/>
      <c r="L865" s="510"/>
      <c r="M865" s="510"/>
    </row>
    <row r="866">
      <c r="I866" s="510"/>
      <c r="J866" s="510"/>
      <c r="K866" s="510"/>
      <c r="L866" s="510"/>
      <c r="M866" s="510"/>
    </row>
    <row r="867">
      <c r="I867" s="510"/>
      <c r="J867" s="510"/>
      <c r="K867" s="510"/>
      <c r="L867" s="510"/>
      <c r="M867" s="510"/>
    </row>
    <row r="868">
      <c r="I868" s="510"/>
      <c r="J868" s="510"/>
      <c r="K868" s="510"/>
      <c r="L868" s="510"/>
      <c r="M868" s="510"/>
    </row>
    <row r="869">
      <c r="I869" s="510"/>
      <c r="J869" s="510"/>
      <c r="K869" s="510"/>
      <c r="L869" s="510"/>
      <c r="M869" s="510"/>
    </row>
    <row r="870">
      <c r="I870" s="510"/>
      <c r="J870" s="510"/>
      <c r="K870" s="510"/>
      <c r="L870" s="510"/>
      <c r="M870" s="510"/>
    </row>
    <row r="871">
      <c r="I871" s="510"/>
      <c r="J871" s="510"/>
      <c r="K871" s="510"/>
      <c r="L871" s="510"/>
      <c r="M871" s="510"/>
    </row>
    <row r="872">
      <c r="I872" s="510"/>
      <c r="J872" s="510"/>
      <c r="K872" s="510"/>
      <c r="L872" s="510"/>
      <c r="M872" s="510"/>
    </row>
    <row r="873">
      <c r="I873" s="510"/>
      <c r="J873" s="510"/>
      <c r="K873" s="510"/>
      <c r="L873" s="510"/>
      <c r="M873" s="510"/>
    </row>
    <row r="874">
      <c r="I874" s="510"/>
      <c r="J874" s="510"/>
      <c r="K874" s="510"/>
      <c r="L874" s="510"/>
      <c r="M874" s="510"/>
    </row>
    <row r="875">
      <c r="I875" s="510"/>
      <c r="J875" s="510"/>
      <c r="K875" s="510"/>
      <c r="L875" s="510"/>
      <c r="M875" s="510"/>
    </row>
    <row r="876">
      <c r="I876" s="510"/>
      <c r="J876" s="510"/>
      <c r="K876" s="510"/>
      <c r="L876" s="510"/>
      <c r="M876" s="510"/>
    </row>
    <row r="877">
      <c r="I877" s="510"/>
      <c r="J877" s="510"/>
      <c r="K877" s="510"/>
      <c r="L877" s="510"/>
      <c r="M877" s="510"/>
    </row>
    <row r="878">
      <c r="I878" s="510"/>
      <c r="J878" s="510"/>
      <c r="K878" s="510"/>
      <c r="L878" s="510"/>
      <c r="M878" s="510"/>
    </row>
    <row r="879">
      <c r="I879" s="510"/>
      <c r="J879" s="510"/>
      <c r="K879" s="510"/>
      <c r="L879" s="510"/>
      <c r="M879" s="510"/>
    </row>
    <row r="880">
      <c r="I880" s="510"/>
      <c r="J880" s="510"/>
      <c r="K880" s="510"/>
      <c r="L880" s="510"/>
      <c r="M880" s="510"/>
    </row>
    <row r="881">
      <c r="I881" s="510"/>
      <c r="J881" s="510"/>
      <c r="K881" s="510"/>
      <c r="L881" s="510"/>
      <c r="M881" s="510"/>
    </row>
    <row r="882">
      <c r="I882" s="510"/>
      <c r="J882" s="510"/>
      <c r="K882" s="510"/>
      <c r="L882" s="510"/>
      <c r="M882" s="510"/>
    </row>
    <row r="883">
      <c r="I883" s="510"/>
      <c r="J883" s="510"/>
      <c r="K883" s="510"/>
      <c r="L883" s="510"/>
      <c r="M883" s="510"/>
    </row>
    <row r="884">
      <c r="I884" s="510"/>
      <c r="J884" s="510"/>
      <c r="K884" s="510"/>
      <c r="L884" s="510"/>
      <c r="M884" s="510"/>
    </row>
    <row r="885">
      <c r="I885" s="510"/>
      <c r="J885" s="510"/>
      <c r="K885" s="510"/>
      <c r="L885" s="510"/>
      <c r="M885" s="510"/>
    </row>
    <row r="886">
      <c r="I886" s="510"/>
      <c r="J886" s="510"/>
      <c r="K886" s="510"/>
      <c r="L886" s="510"/>
      <c r="M886" s="510"/>
    </row>
    <row r="887">
      <c r="I887" s="510"/>
      <c r="J887" s="510"/>
      <c r="K887" s="510"/>
      <c r="L887" s="510"/>
      <c r="M887" s="510"/>
    </row>
    <row r="888">
      <c r="I888" s="510"/>
      <c r="J888" s="510"/>
      <c r="K888" s="510"/>
      <c r="L888" s="510"/>
      <c r="M888" s="510"/>
    </row>
    <row r="889">
      <c r="I889" s="510"/>
      <c r="J889" s="510"/>
      <c r="K889" s="510"/>
      <c r="L889" s="510"/>
      <c r="M889" s="510"/>
    </row>
    <row r="890">
      <c r="I890" s="510"/>
      <c r="J890" s="510"/>
      <c r="K890" s="510"/>
      <c r="L890" s="510"/>
      <c r="M890" s="510"/>
    </row>
    <row r="891">
      <c r="I891" s="510"/>
      <c r="J891" s="510"/>
      <c r="K891" s="510"/>
      <c r="L891" s="510"/>
      <c r="M891" s="510"/>
    </row>
    <row r="892">
      <c r="I892" s="510"/>
      <c r="J892" s="510"/>
      <c r="K892" s="510"/>
      <c r="L892" s="510"/>
      <c r="M892" s="510"/>
    </row>
    <row r="893">
      <c r="I893" s="510"/>
      <c r="J893" s="510"/>
      <c r="K893" s="510"/>
      <c r="L893" s="510"/>
      <c r="M893" s="510"/>
    </row>
    <row r="894">
      <c r="I894" s="510"/>
      <c r="J894" s="510"/>
      <c r="K894" s="510"/>
      <c r="L894" s="510"/>
      <c r="M894" s="510"/>
    </row>
    <row r="895">
      <c r="I895" s="510"/>
      <c r="J895" s="510"/>
      <c r="K895" s="510"/>
      <c r="L895" s="510"/>
      <c r="M895" s="510"/>
    </row>
    <row r="896">
      <c r="I896" s="510"/>
      <c r="J896" s="510"/>
      <c r="K896" s="510"/>
      <c r="L896" s="510"/>
      <c r="M896" s="510"/>
    </row>
    <row r="897">
      <c r="I897" s="510"/>
      <c r="J897" s="510"/>
      <c r="K897" s="510"/>
      <c r="L897" s="510"/>
      <c r="M897" s="510"/>
    </row>
    <row r="898">
      <c r="I898" s="510"/>
      <c r="J898" s="510"/>
      <c r="K898" s="510"/>
      <c r="L898" s="510"/>
      <c r="M898" s="510"/>
    </row>
    <row r="899">
      <c r="I899" s="510"/>
      <c r="J899" s="510"/>
      <c r="K899" s="510"/>
      <c r="L899" s="510"/>
      <c r="M899" s="510"/>
    </row>
    <row r="900">
      <c r="I900" s="510"/>
      <c r="J900" s="510"/>
      <c r="K900" s="510"/>
      <c r="L900" s="510"/>
      <c r="M900" s="510"/>
    </row>
    <row r="901">
      <c r="I901" s="510"/>
      <c r="J901" s="510"/>
      <c r="K901" s="510"/>
      <c r="L901" s="510"/>
      <c r="M901" s="510"/>
    </row>
    <row r="902">
      <c r="I902" s="510"/>
      <c r="J902" s="510"/>
      <c r="K902" s="510"/>
      <c r="L902" s="510"/>
      <c r="M902" s="510"/>
    </row>
    <row r="903">
      <c r="I903" s="510"/>
      <c r="J903" s="510"/>
      <c r="K903" s="510"/>
      <c r="L903" s="510"/>
      <c r="M903" s="510"/>
    </row>
    <row r="904">
      <c r="I904" s="510"/>
      <c r="J904" s="510"/>
      <c r="K904" s="510"/>
      <c r="L904" s="510"/>
      <c r="M904" s="510"/>
    </row>
    <row r="905">
      <c r="I905" s="510"/>
      <c r="J905" s="510"/>
      <c r="K905" s="510"/>
      <c r="L905" s="510"/>
      <c r="M905" s="510"/>
    </row>
    <row r="906">
      <c r="I906" s="510"/>
      <c r="J906" s="510"/>
      <c r="K906" s="510"/>
      <c r="L906" s="510"/>
      <c r="M906" s="510"/>
    </row>
    <row r="907">
      <c r="I907" s="510"/>
      <c r="J907" s="510"/>
      <c r="K907" s="510"/>
      <c r="L907" s="510"/>
      <c r="M907" s="510"/>
    </row>
    <row r="908">
      <c r="I908" s="510"/>
      <c r="J908" s="510"/>
      <c r="K908" s="510"/>
      <c r="L908" s="510"/>
      <c r="M908" s="510"/>
    </row>
    <row r="909">
      <c r="I909" s="510"/>
      <c r="J909" s="510"/>
      <c r="K909" s="510"/>
      <c r="L909" s="510"/>
      <c r="M909" s="510"/>
    </row>
    <row r="910">
      <c r="I910" s="510"/>
      <c r="J910" s="510"/>
      <c r="K910" s="510"/>
      <c r="L910" s="510"/>
      <c r="M910" s="510"/>
    </row>
    <row r="911">
      <c r="I911" s="510"/>
      <c r="J911" s="510"/>
      <c r="K911" s="510"/>
      <c r="L911" s="510"/>
      <c r="M911" s="510"/>
    </row>
    <row r="912">
      <c r="I912" s="510"/>
      <c r="J912" s="510"/>
      <c r="K912" s="510"/>
      <c r="L912" s="510"/>
      <c r="M912" s="510"/>
    </row>
    <row r="913">
      <c r="I913" s="510"/>
      <c r="J913" s="510"/>
      <c r="K913" s="510"/>
      <c r="L913" s="510"/>
      <c r="M913" s="510"/>
    </row>
    <row r="914">
      <c r="I914" s="510"/>
      <c r="J914" s="510"/>
      <c r="K914" s="510"/>
      <c r="L914" s="510"/>
      <c r="M914" s="510"/>
    </row>
    <row r="915">
      <c r="I915" s="510"/>
      <c r="J915" s="510"/>
      <c r="K915" s="510"/>
      <c r="L915" s="510"/>
      <c r="M915" s="510"/>
    </row>
    <row r="916">
      <c r="I916" s="510"/>
      <c r="J916" s="510"/>
      <c r="K916" s="510"/>
      <c r="L916" s="510"/>
      <c r="M916" s="510"/>
    </row>
    <row r="917">
      <c r="I917" s="510"/>
      <c r="J917" s="510"/>
      <c r="K917" s="510"/>
      <c r="L917" s="510"/>
      <c r="M917" s="510"/>
    </row>
    <row r="918">
      <c r="I918" s="510"/>
      <c r="J918" s="510"/>
      <c r="K918" s="510"/>
      <c r="L918" s="510"/>
      <c r="M918" s="510"/>
    </row>
    <row r="919">
      <c r="I919" s="510"/>
      <c r="J919" s="510"/>
      <c r="K919" s="510"/>
      <c r="L919" s="510"/>
      <c r="M919" s="510"/>
    </row>
    <row r="920">
      <c r="I920" s="510"/>
      <c r="J920" s="510"/>
      <c r="K920" s="510"/>
      <c r="L920" s="510"/>
      <c r="M920" s="510"/>
    </row>
    <row r="921">
      <c r="I921" s="510"/>
      <c r="J921" s="510"/>
      <c r="K921" s="510"/>
      <c r="L921" s="510"/>
      <c r="M921" s="510"/>
    </row>
    <row r="922">
      <c r="I922" s="510"/>
      <c r="J922" s="510"/>
      <c r="K922" s="510"/>
      <c r="L922" s="510"/>
      <c r="M922" s="510"/>
    </row>
    <row r="923">
      <c r="I923" s="510"/>
      <c r="J923" s="510"/>
      <c r="K923" s="510"/>
      <c r="L923" s="510"/>
      <c r="M923" s="510"/>
    </row>
    <row r="924">
      <c r="I924" s="510"/>
      <c r="J924" s="510"/>
      <c r="K924" s="510"/>
      <c r="L924" s="510"/>
      <c r="M924" s="510"/>
    </row>
    <row r="925">
      <c r="I925" s="510"/>
      <c r="J925" s="510"/>
      <c r="K925" s="510"/>
      <c r="L925" s="510"/>
      <c r="M925" s="510"/>
    </row>
    <row r="926">
      <c r="I926" s="510"/>
      <c r="J926" s="510"/>
      <c r="K926" s="510"/>
      <c r="L926" s="510"/>
      <c r="M926" s="510"/>
    </row>
    <row r="927">
      <c r="I927" s="510"/>
      <c r="J927" s="510"/>
      <c r="K927" s="510"/>
      <c r="L927" s="510"/>
      <c r="M927" s="510"/>
    </row>
    <row r="928">
      <c r="I928" s="510"/>
      <c r="J928" s="510"/>
      <c r="K928" s="510"/>
      <c r="L928" s="510"/>
      <c r="M928" s="510"/>
    </row>
    <row r="929">
      <c r="I929" s="510"/>
      <c r="J929" s="510"/>
      <c r="K929" s="510"/>
      <c r="L929" s="510"/>
      <c r="M929" s="510"/>
    </row>
    <row r="930">
      <c r="I930" s="510"/>
      <c r="J930" s="510"/>
      <c r="K930" s="510"/>
      <c r="L930" s="510"/>
      <c r="M930" s="510"/>
    </row>
    <row r="931">
      <c r="I931" s="510"/>
      <c r="J931" s="510"/>
      <c r="K931" s="510"/>
      <c r="L931" s="510"/>
      <c r="M931" s="510"/>
    </row>
    <row r="932">
      <c r="I932" s="510"/>
      <c r="J932" s="510"/>
      <c r="K932" s="510"/>
      <c r="L932" s="510"/>
      <c r="M932" s="510"/>
    </row>
    <row r="933">
      <c r="I933" s="510"/>
      <c r="J933" s="510"/>
      <c r="K933" s="510"/>
      <c r="L933" s="510"/>
      <c r="M933" s="510"/>
    </row>
    <row r="934">
      <c r="I934" s="510"/>
      <c r="J934" s="510"/>
      <c r="K934" s="510"/>
      <c r="L934" s="510"/>
      <c r="M934" s="510"/>
    </row>
    <row r="935">
      <c r="I935" s="510"/>
      <c r="J935" s="510"/>
      <c r="K935" s="510"/>
      <c r="L935" s="510"/>
      <c r="M935" s="510"/>
    </row>
    <row r="936">
      <c r="I936" s="510"/>
      <c r="J936" s="510"/>
      <c r="K936" s="510"/>
      <c r="L936" s="510"/>
      <c r="M936" s="510"/>
    </row>
    <row r="937">
      <c r="I937" s="510"/>
      <c r="J937" s="510"/>
      <c r="K937" s="510"/>
      <c r="L937" s="510"/>
      <c r="M937" s="510"/>
    </row>
    <row r="938">
      <c r="I938" s="510"/>
      <c r="J938" s="510"/>
      <c r="K938" s="510"/>
      <c r="L938" s="510"/>
      <c r="M938" s="510"/>
    </row>
    <row r="939">
      <c r="I939" s="510"/>
      <c r="J939" s="510"/>
      <c r="K939" s="510"/>
      <c r="L939" s="510"/>
      <c r="M939" s="510"/>
    </row>
    <row r="940">
      <c r="I940" s="510"/>
      <c r="J940" s="510"/>
      <c r="K940" s="510"/>
      <c r="L940" s="510"/>
      <c r="M940" s="510"/>
    </row>
    <row r="941">
      <c r="I941" s="510"/>
      <c r="J941" s="510"/>
      <c r="K941" s="510"/>
      <c r="L941" s="510"/>
      <c r="M941" s="510"/>
    </row>
    <row r="942">
      <c r="I942" s="510"/>
      <c r="J942" s="510"/>
      <c r="K942" s="510"/>
      <c r="L942" s="510"/>
      <c r="M942" s="510"/>
    </row>
    <row r="943">
      <c r="I943" s="510"/>
      <c r="J943" s="510"/>
      <c r="K943" s="510"/>
      <c r="L943" s="510"/>
      <c r="M943" s="510"/>
    </row>
    <row r="944">
      <c r="I944" s="510"/>
      <c r="J944" s="510"/>
      <c r="K944" s="510"/>
      <c r="L944" s="510"/>
      <c r="M944" s="510"/>
    </row>
    <row r="945">
      <c r="I945" s="510"/>
      <c r="J945" s="510"/>
      <c r="K945" s="510"/>
      <c r="L945" s="510"/>
      <c r="M945" s="510"/>
    </row>
    <row r="946">
      <c r="I946" s="510"/>
      <c r="J946" s="510"/>
      <c r="K946" s="510"/>
      <c r="L946" s="510"/>
      <c r="M946" s="510"/>
    </row>
    <row r="947">
      <c r="I947" s="510"/>
      <c r="J947" s="510"/>
      <c r="K947" s="510"/>
      <c r="L947" s="510"/>
      <c r="M947" s="510"/>
    </row>
    <row r="948">
      <c r="I948" s="510"/>
      <c r="J948" s="510"/>
      <c r="K948" s="510"/>
      <c r="L948" s="510"/>
      <c r="M948" s="510"/>
    </row>
    <row r="949">
      <c r="I949" s="510"/>
      <c r="J949" s="510"/>
      <c r="K949" s="510"/>
      <c r="L949" s="510"/>
      <c r="M949" s="510"/>
    </row>
    <row r="950">
      <c r="I950" s="510"/>
      <c r="J950" s="510"/>
      <c r="K950" s="510"/>
      <c r="L950" s="510"/>
      <c r="M950" s="510"/>
    </row>
    <row r="951">
      <c r="I951" s="510"/>
      <c r="J951" s="510"/>
      <c r="K951" s="510"/>
      <c r="L951" s="510"/>
      <c r="M951" s="510"/>
    </row>
    <row r="952">
      <c r="I952" s="510"/>
      <c r="J952" s="510"/>
      <c r="K952" s="510"/>
      <c r="L952" s="510"/>
      <c r="M952" s="510"/>
    </row>
    <row r="953">
      <c r="I953" s="510"/>
      <c r="J953" s="510"/>
      <c r="K953" s="510"/>
      <c r="L953" s="510"/>
      <c r="M953" s="510"/>
    </row>
    <row r="954">
      <c r="I954" s="510"/>
      <c r="J954" s="510"/>
      <c r="K954" s="510"/>
      <c r="L954" s="510"/>
      <c r="M954" s="510"/>
    </row>
    <row r="955">
      <c r="I955" s="510"/>
      <c r="J955" s="510"/>
      <c r="K955" s="510"/>
      <c r="L955" s="510"/>
      <c r="M955" s="510"/>
    </row>
    <row r="956">
      <c r="I956" s="510"/>
      <c r="J956" s="510"/>
      <c r="K956" s="510"/>
      <c r="L956" s="510"/>
      <c r="M956" s="510"/>
    </row>
    <row r="957">
      <c r="I957" s="510"/>
      <c r="J957" s="510"/>
      <c r="K957" s="510"/>
      <c r="L957" s="510"/>
      <c r="M957" s="510"/>
    </row>
    <row r="958">
      <c r="I958" s="510"/>
      <c r="J958" s="510"/>
      <c r="K958" s="510"/>
      <c r="L958" s="510"/>
      <c r="M958" s="510"/>
    </row>
    <row r="959">
      <c r="I959" s="510"/>
      <c r="J959" s="510"/>
      <c r="K959" s="510"/>
      <c r="L959" s="510"/>
      <c r="M959" s="510"/>
    </row>
    <row r="960">
      <c r="I960" s="510"/>
      <c r="J960" s="510"/>
      <c r="K960" s="510"/>
      <c r="L960" s="510"/>
      <c r="M960" s="510"/>
    </row>
    <row r="961">
      <c r="I961" s="510"/>
      <c r="J961" s="510"/>
      <c r="K961" s="510"/>
      <c r="L961" s="510"/>
      <c r="M961" s="510"/>
    </row>
    <row r="962">
      <c r="I962" s="510"/>
      <c r="J962" s="510"/>
      <c r="K962" s="510"/>
      <c r="L962" s="510"/>
      <c r="M962" s="510"/>
    </row>
    <row r="963">
      <c r="I963" s="510"/>
      <c r="J963" s="510"/>
      <c r="K963" s="510"/>
      <c r="L963" s="510"/>
      <c r="M963" s="510"/>
    </row>
    <row r="964">
      <c r="I964" s="510"/>
      <c r="J964" s="510"/>
      <c r="K964" s="510"/>
      <c r="L964" s="510"/>
      <c r="M964" s="510"/>
    </row>
    <row r="965">
      <c r="I965" s="510"/>
      <c r="J965" s="510"/>
      <c r="K965" s="510"/>
      <c r="L965" s="510"/>
      <c r="M965" s="510"/>
    </row>
    <row r="966">
      <c r="I966" s="510"/>
      <c r="J966" s="510"/>
      <c r="K966" s="510"/>
      <c r="L966" s="510"/>
      <c r="M966" s="510"/>
    </row>
    <row r="967">
      <c r="I967" s="510"/>
      <c r="J967" s="510"/>
      <c r="K967" s="510"/>
      <c r="L967" s="510"/>
      <c r="M967" s="510"/>
    </row>
    <row r="968">
      <c r="I968" s="510"/>
      <c r="J968" s="510"/>
      <c r="K968" s="510"/>
      <c r="L968" s="510"/>
      <c r="M968" s="510"/>
    </row>
    <row r="969">
      <c r="I969" s="510"/>
      <c r="J969" s="510"/>
      <c r="K969" s="510"/>
      <c r="L969" s="510"/>
      <c r="M969" s="510"/>
    </row>
    <row r="970">
      <c r="I970" s="510"/>
      <c r="J970" s="510"/>
      <c r="K970" s="510"/>
      <c r="L970" s="510"/>
      <c r="M970" s="510"/>
    </row>
    <row r="971">
      <c r="I971" s="510"/>
      <c r="J971" s="510"/>
      <c r="K971" s="510"/>
      <c r="L971" s="510"/>
      <c r="M971" s="510"/>
    </row>
    <row r="972">
      <c r="I972" s="510"/>
      <c r="J972" s="510"/>
      <c r="K972" s="510"/>
      <c r="L972" s="510"/>
      <c r="M972" s="510"/>
    </row>
    <row r="973">
      <c r="I973" s="510"/>
      <c r="J973" s="510"/>
      <c r="K973" s="510"/>
      <c r="L973" s="510"/>
      <c r="M973" s="510"/>
    </row>
    <row r="974">
      <c r="I974" s="510"/>
      <c r="J974" s="510"/>
      <c r="K974" s="510"/>
      <c r="L974" s="510"/>
      <c r="M974" s="510"/>
    </row>
    <row r="975">
      <c r="I975" s="510"/>
      <c r="J975" s="510"/>
      <c r="K975" s="510"/>
      <c r="L975" s="510"/>
      <c r="M975" s="510"/>
    </row>
    <row r="976">
      <c r="I976" s="510"/>
      <c r="J976" s="510"/>
      <c r="K976" s="510"/>
      <c r="L976" s="510"/>
      <c r="M976" s="510"/>
    </row>
    <row r="977">
      <c r="I977" s="510"/>
      <c r="J977" s="510"/>
      <c r="K977" s="510"/>
      <c r="L977" s="510"/>
      <c r="M977" s="510"/>
    </row>
    <row r="978">
      <c r="I978" s="510"/>
      <c r="J978" s="510"/>
      <c r="K978" s="510"/>
      <c r="L978" s="510"/>
      <c r="M978" s="510"/>
    </row>
    <row r="979">
      <c r="I979" s="510"/>
      <c r="J979" s="510"/>
      <c r="K979" s="510"/>
      <c r="L979" s="510"/>
      <c r="M979" s="510"/>
    </row>
    <row r="980">
      <c r="I980" s="510"/>
      <c r="J980" s="510"/>
      <c r="K980" s="510"/>
      <c r="L980" s="510"/>
      <c r="M980" s="510"/>
    </row>
    <row r="981">
      <c r="I981" s="510"/>
      <c r="J981" s="510"/>
      <c r="K981" s="510"/>
      <c r="L981" s="510"/>
      <c r="M981" s="510"/>
    </row>
    <row r="982">
      <c r="I982" s="510"/>
      <c r="J982" s="510"/>
      <c r="K982" s="510"/>
      <c r="L982" s="510"/>
      <c r="M982" s="510"/>
    </row>
    <row r="983">
      <c r="I983" s="510"/>
      <c r="J983" s="510"/>
      <c r="K983" s="510"/>
      <c r="L983" s="510"/>
      <c r="M983" s="510"/>
    </row>
    <row r="984">
      <c r="I984" s="510"/>
      <c r="J984" s="510"/>
      <c r="K984" s="510"/>
      <c r="L984" s="510"/>
      <c r="M984" s="510"/>
    </row>
    <row r="985">
      <c r="I985" s="510"/>
      <c r="J985" s="510"/>
      <c r="K985" s="510"/>
      <c r="L985" s="510"/>
      <c r="M985" s="510"/>
    </row>
  </sheetData>
  <mergeCells count="179">
    <mergeCell ref="J5:J6"/>
    <mergeCell ref="K5:K6"/>
    <mergeCell ref="L10:L13"/>
    <mergeCell ref="P11:P18"/>
    <mergeCell ref="Q11:Q18"/>
    <mergeCell ref="W11:W18"/>
    <mergeCell ref="L14:L18"/>
    <mergeCell ref="L24:L27"/>
    <mergeCell ref="L28:L29"/>
    <mergeCell ref="M14:M15"/>
    <mergeCell ref="I16:K16"/>
    <mergeCell ref="L19:L23"/>
    <mergeCell ref="P19:P30"/>
    <mergeCell ref="Q19:Q30"/>
    <mergeCell ref="W19:W30"/>
    <mergeCell ref="I22:I23"/>
    <mergeCell ref="H32:H33"/>
    <mergeCell ref="H34:H36"/>
    <mergeCell ref="P38:P49"/>
    <mergeCell ref="Q38:Q49"/>
    <mergeCell ref="L41:L44"/>
    <mergeCell ref="L45:L48"/>
    <mergeCell ref="W50:W54"/>
    <mergeCell ref="J22:J23"/>
    <mergeCell ref="K22:K23"/>
    <mergeCell ref="H28:H29"/>
    <mergeCell ref="L30:L33"/>
    <mergeCell ref="P31:P37"/>
    <mergeCell ref="Q31:Q37"/>
    <mergeCell ref="W31:W37"/>
    <mergeCell ref="L34:L36"/>
    <mergeCell ref="D5:D6"/>
    <mergeCell ref="E5:E6"/>
    <mergeCell ref="F5:F6"/>
    <mergeCell ref="G5:G6"/>
    <mergeCell ref="H5:H6"/>
    <mergeCell ref="I5:I6"/>
    <mergeCell ref="A1:B2"/>
    <mergeCell ref="P1:W1"/>
    <mergeCell ref="P3:P10"/>
    <mergeCell ref="Q3:Q10"/>
    <mergeCell ref="W3:W10"/>
    <mergeCell ref="A4:A9"/>
    <mergeCell ref="R4:R5"/>
    <mergeCell ref="L5:L6"/>
    <mergeCell ref="B19:B23"/>
    <mergeCell ref="C22:C23"/>
    <mergeCell ref="D22:D23"/>
    <mergeCell ref="E22:E23"/>
    <mergeCell ref="F22:F23"/>
    <mergeCell ref="G22:G23"/>
    <mergeCell ref="H22:H23"/>
    <mergeCell ref="B4:B9"/>
    <mergeCell ref="C5:C6"/>
    <mergeCell ref="A10:A13"/>
    <mergeCell ref="B10:B13"/>
    <mergeCell ref="A14:A18"/>
    <mergeCell ref="B14:B18"/>
    <mergeCell ref="A19:A23"/>
    <mergeCell ref="A24:A29"/>
    <mergeCell ref="B24:B29"/>
    <mergeCell ref="A30:A33"/>
    <mergeCell ref="B30:B33"/>
    <mergeCell ref="A34:A36"/>
    <mergeCell ref="B34:B36"/>
    <mergeCell ref="A38:B39"/>
    <mergeCell ref="L68:L72"/>
    <mergeCell ref="L73:L74"/>
    <mergeCell ref="L79:L82"/>
    <mergeCell ref="L83:L87"/>
    <mergeCell ref="L88:L91"/>
    <mergeCell ref="L92:L93"/>
    <mergeCell ref="L94:L97"/>
    <mergeCell ref="L161:L164"/>
    <mergeCell ref="L167:L171"/>
    <mergeCell ref="L98:L99"/>
    <mergeCell ref="L100:L103"/>
    <mergeCell ref="L133:L136"/>
    <mergeCell ref="L137:L140"/>
    <mergeCell ref="L143:L146"/>
    <mergeCell ref="L151:L154"/>
    <mergeCell ref="L155:L158"/>
    <mergeCell ref="L112:L115"/>
    <mergeCell ref="L120:L123"/>
    <mergeCell ref="H92:H93"/>
    <mergeCell ref="H98:H99"/>
    <mergeCell ref="H104:H105"/>
    <mergeCell ref="L104:L105"/>
    <mergeCell ref="L106:L109"/>
    <mergeCell ref="H110:H111"/>
    <mergeCell ref="L110:L111"/>
    <mergeCell ref="A83:A87"/>
    <mergeCell ref="A88:A93"/>
    <mergeCell ref="B88:B93"/>
    <mergeCell ref="A94:A99"/>
    <mergeCell ref="B94:B99"/>
    <mergeCell ref="A100:A105"/>
    <mergeCell ref="B100:B105"/>
    <mergeCell ref="A106:A111"/>
    <mergeCell ref="B106:B111"/>
    <mergeCell ref="A112:A115"/>
    <mergeCell ref="B112:B115"/>
    <mergeCell ref="A117:B118"/>
    <mergeCell ref="A120:A123"/>
    <mergeCell ref="B120:B123"/>
    <mergeCell ref="A151:A154"/>
    <mergeCell ref="B151:B154"/>
    <mergeCell ref="A155:A160"/>
    <mergeCell ref="B155:B160"/>
    <mergeCell ref="A161:A166"/>
    <mergeCell ref="B161:B166"/>
    <mergeCell ref="A167:A174"/>
    <mergeCell ref="B167:B174"/>
    <mergeCell ref="A133:A136"/>
    <mergeCell ref="B133:B136"/>
    <mergeCell ref="A137:A142"/>
    <mergeCell ref="B137:B142"/>
    <mergeCell ref="A143:A146"/>
    <mergeCell ref="B143:B146"/>
    <mergeCell ref="A148:B149"/>
    <mergeCell ref="H159:H160"/>
    <mergeCell ref="H165:H166"/>
    <mergeCell ref="E172:E173"/>
    <mergeCell ref="H172:H174"/>
    <mergeCell ref="L165:L166"/>
    <mergeCell ref="L172:L174"/>
    <mergeCell ref="E139:E140"/>
    <mergeCell ref="E145:E146"/>
    <mergeCell ref="E151:E152"/>
    <mergeCell ref="J151:J152"/>
    <mergeCell ref="L159:L160"/>
    <mergeCell ref="E161:E162"/>
    <mergeCell ref="J161:J162"/>
    <mergeCell ref="A41:A44"/>
    <mergeCell ref="B41:B44"/>
    <mergeCell ref="A45:A48"/>
    <mergeCell ref="B45:B48"/>
    <mergeCell ref="A49:A53"/>
    <mergeCell ref="B49:B53"/>
    <mergeCell ref="H49:H50"/>
    <mergeCell ref="A54:A57"/>
    <mergeCell ref="B54:B57"/>
    <mergeCell ref="A58:A63"/>
    <mergeCell ref="B58:B63"/>
    <mergeCell ref="H62:H63"/>
    <mergeCell ref="B64:B67"/>
    <mergeCell ref="E66:E67"/>
    <mergeCell ref="L49:L53"/>
    <mergeCell ref="P50:P54"/>
    <mergeCell ref="Q50:Q54"/>
    <mergeCell ref="L54:L57"/>
    <mergeCell ref="L58:L61"/>
    <mergeCell ref="L62:L63"/>
    <mergeCell ref="L64:L67"/>
    <mergeCell ref="A64:A67"/>
    <mergeCell ref="A68:A74"/>
    <mergeCell ref="B68:B74"/>
    <mergeCell ref="A76:B77"/>
    <mergeCell ref="A79:A82"/>
    <mergeCell ref="B79:B82"/>
    <mergeCell ref="B83:B87"/>
    <mergeCell ref="E60:E61"/>
    <mergeCell ref="E64:E65"/>
    <mergeCell ref="E70:E72"/>
    <mergeCell ref="H73:H74"/>
    <mergeCell ref="H79:H87"/>
    <mergeCell ref="E81:E82"/>
    <mergeCell ref="E94:E95"/>
    <mergeCell ref="E100:E101"/>
    <mergeCell ref="A124:A127"/>
    <mergeCell ref="B124:B127"/>
    <mergeCell ref="L124:L127"/>
    <mergeCell ref="A128:A132"/>
    <mergeCell ref="B128:B132"/>
    <mergeCell ref="H129:H130"/>
    <mergeCell ref="I129:L129"/>
    <mergeCell ref="L130:L132"/>
    <mergeCell ref="H141:H142"/>
    <mergeCell ref="L141:L142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4.5"/>
    <col customWidth="1" min="8" max="8" width="16.75"/>
    <col hidden="1" min="9" max="17" width="12.63"/>
  </cols>
  <sheetData>
    <row r="1">
      <c r="A1" s="1" t="s">
        <v>0</v>
      </c>
      <c r="C1" s="2"/>
      <c r="D1" s="2"/>
      <c r="E1" s="2"/>
      <c r="F1" s="3"/>
      <c r="G1" s="2"/>
      <c r="H1" s="2"/>
      <c r="I1" s="3"/>
      <c r="J1" s="3"/>
      <c r="K1" s="3"/>
      <c r="L1" s="3"/>
      <c r="M1" s="3"/>
      <c r="N1" s="3"/>
    </row>
    <row r="2">
      <c r="C2" s="2"/>
      <c r="D2" s="2"/>
      <c r="E2" s="2"/>
      <c r="F2" s="3"/>
      <c r="G2" s="2"/>
      <c r="H2" s="2"/>
      <c r="I2" s="3"/>
      <c r="J2" s="3"/>
      <c r="K2" s="3"/>
      <c r="L2" s="3"/>
      <c r="M2" s="3"/>
      <c r="N2" s="3"/>
    </row>
    <row r="3">
      <c r="A3" s="8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9" t="s">
        <v>16</v>
      </c>
      <c r="H3" s="1452" t="s">
        <v>17</v>
      </c>
      <c r="I3" s="1453" t="s">
        <v>18</v>
      </c>
      <c r="J3" s="1454" t="s">
        <v>19</v>
      </c>
      <c r="K3" s="1455" t="s">
        <v>20</v>
      </c>
      <c r="L3" s="1455" t="s">
        <v>21</v>
      </c>
      <c r="M3" s="1455" t="s">
        <v>22</v>
      </c>
      <c r="N3" s="1456" t="s">
        <v>23</v>
      </c>
    </row>
    <row r="4">
      <c r="A4" s="341" t="s">
        <v>55</v>
      </c>
      <c r="B4" s="1457">
        <v>45901.0</v>
      </c>
      <c r="C4" s="343" t="s">
        <v>44</v>
      </c>
      <c r="D4" s="395" t="s">
        <v>63</v>
      </c>
      <c r="E4" s="395" t="s">
        <v>385</v>
      </c>
      <c r="F4" s="438">
        <v>4.0</v>
      </c>
      <c r="G4" s="1458"/>
      <c r="H4" s="1459" t="s">
        <v>386</v>
      </c>
      <c r="I4" s="1460"/>
      <c r="J4" s="1461"/>
      <c r="K4" s="1462"/>
      <c r="L4" s="1463"/>
      <c r="M4" s="1464"/>
      <c r="N4" s="1465">
        <f>M7</f>
        <v>300</v>
      </c>
    </row>
    <row r="5">
      <c r="A5" s="33"/>
      <c r="B5" s="39"/>
      <c r="C5" s="1466" t="s">
        <v>50</v>
      </c>
      <c r="D5" s="1467" t="s">
        <v>164</v>
      </c>
      <c r="E5" s="1468" t="s">
        <v>387</v>
      </c>
      <c r="F5" s="1469">
        <v>4.0</v>
      </c>
      <c r="G5" s="1470"/>
      <c r="H5" s="142"/>
      <c r="I5" s="1471"/>
      <c r="J5" s="1472"/>
      <c r="K5" s="1473"/>
      <c r="L5" s="1474"/>
      <c r="M5" s="1475"/>
      <c r="N5" s="98"/>
    </row>
    <row r="6">
      <c r="A6" s="33"/>
      <c r="B6" s="39"/>
      <c r="C6" s="354" t="s">
        <v>37</v>
      </c>
      <c r="D6" s="417" t="s">
        <v>71</v>
      </c>
      <c r="E6" s="356"/>
      <c r="F6" s="1476">
        <v>4.0</v>
      </c>
      <c r="G6" s="1477"/>
      <c r="H6" s="142"/>
      <c r="I6" s="1471"/>
      <c r="J6" s="1472"/>
      <c r="K6" s="1473"/>
      <c r="L6" s="1474"/>
      <c r="M6" s="1475"/>
      <c r="N6" s="98"/>
      <c r="P6" s="241" t="s">
        <v>388</v>
      </c>
    </row>
    <row r="7">
      <c r="A7" s="56"/>
      <c r="B7" s="57"/>
      <c r="C7" s="1478" t="s">
        <v>88</v>
      </c>
      <c r="D7" s="1479" t="s">
        <v>39</v>
      </c>
      <c r="E7" s="1480"/>
      <c r="F7" s="1481">
        <v>2.0</v>
      </c>
      <c r="G7" s="1482"/>
      <c r="H7" s="182"/>
      <c r="I7" s="1483"/>
      <c r="J7" s="1484"/>
      <c r="K7" s="1485">
        <v>150.0</v>
      </c>
      <c r="L7" s="1486"/>
      <c r="M7" s="1487">
        <f>150*2</f>
        <v>300</v>
      </c>
      <c r="N7" s="110"/>
    </row>
    <row r="8">
      <c r="A8" s="1488" t="s">
        <v>58</v>
      </c>
      <c r="B8" s="1489">
        <v>45902.0</v>
      </c>
      <c r="C8" s="1490" t="s">
        <v>389</v>
      </c>
      <c r="N8" s="98"/>
    </row>
    <row r="9">
      <c r="A9" s="341" t="s">
        <v>62</v>
      </c>
      <c r="B9" s="1457">
        <v>45903.0</v>
      </c>
      <c r="C9" s="1491" t="s">
        <v>390</v>
      </c>
      <c r="D9" s="395" t="s">
        <v>28</v>
      </c>
      <c r="E9" s="345" t="s">
        <v>391</v>
      </c>
      <c r="F9" s="438">
        <v>3.0</v>
      </c>
      <c r="G9" s="1458"/>
      <c r="H9" s="1492" t="s">
        <v>74</v>
      </c>
      <c r="I9" s="1493"/>
      <c r="J9" s="1494"/>
      <c r="K9" s="1462"/>
      <c r="L9" s="1463"/>
      <c r="M9" s="1464"/>
      <c r="N9" s="1495"/>
    </row>
    <row r="10">
      <c r="A10" s="56"/>
      <c r="B10" s="57"/>
      <c r="C10" s="1496" t="s">
        <v>392</v>
      </c>
      <c r="D10" s="1497" t="s">
        <v>230</v>
      </c>
      <c r="E10" s="80"/>
      <c r="F10" s="1498">
        <v>3.0</v>
      </c>
      <c r="G10" s="1499"/>
      <c r="H10" s="182"/>
      <c r="I10" s="1500"/>
      <c r="J10" s="1501"/>
      <c r="K10" s="1502"/>
      <c r="L10" s="1486"/>
      <c r="M10" s="1487"/>
      <c r="N10" s="1503"/>
    </row>
    <row r="11">
      <c r="A11" s="1488" t="s">
        <v>77</v>
      </c>
      <c r="B11" s="1504">
        <v>45904.0</v>
      </c>
      <c r="C11" s="1505"/>
      <c r="N11" s="98"/>
      <c r="O11" s="241" t="s">
        <v>393</v>
      </c>
    </row>
    <row r="12">
      <c r="A12" s="1488" t="s">
        <v>26</v>
      </c>
      <c r="B12" s="1504">
        <v>45905.0</v>
      </c>
      <c r="C12" s="1506"/>
      <c r="D12" s="1507"/>
      <c r="E12" s="1507"/>
      <c r="F12" s="1507"/>
      <c r="G12" s="1507"/>
      <c r="H12" s="1507"/>
      <c r="I12" s="1507"/>
      <c r="J12" s="1507"/>
      <c r="K12" s="1507"/>
      <c r="L12" s="1507"/>
      <c r="M12" s="1507"/>
      <c r="N12" s="1508"/>
      <c r="O12" s="241" t="s">
        <v>394</v>
      </c>
    </row>
    <row r="13">
      <c r="A13" s="341" t="s">
        <v>41</v>
      </c>
      <c r="B13" s="342">
        <v>45906.0</v>
      </c>
      <c r="C13" s="1509" t="s">
        <v>27</v>
      </c>
      <c r="D13" s="1510" t="s">
        <v>164</v>
      </c>
      <c r="E13" s="1511"/>
      <c r="F13" s="1512">
        <v>4.0</v>
      </c>
      <c r="G13" s="1513" t="s">
        <v>73</v>
      </c>
      <c r="H13" s="1514" t="s">
        <v>122</v>
      </c>
      <c r="I13" s="1515"/>
      <c r="J13" s="1515"/>
      <c r="K13" s="1516"/>
      <c r="L13" s="1517"/>
      <c r="M13" s="1518"/>
      <c r="N13" s="1519"/>
      <c r="O13" s="241" t="s">
        <v>395</v>
      </c>
    </row>
    <row r="14">
      <c r="A14" s="33"/>
      <c r="B14" s="142"/>
      <c r="C14" s="479" t="s">
        <v>40</v>
      </c>
      <c r="D14" s="480" t="s">
        <v>63</v>
      </c>
      <c r="E14" s="1520" t="s">
        <v>396</v>
      </c>
      <c r="F14" s="481">
        <v>4.0</v>
      </c>
      <c r="G14" s="482" t="s">
        <v>73</v>
      </c>
      <c r="H14" s="142"/>
      <c r="I14" s="1515"/>
      <c r="J14" s="1515"/>
      <c r="K14" s="1473"/>
      <c r="L14" s="1474"/>
      <c r="M14" s="1475"/>
      <c r="N14" s="1521"/>
    </row>
    <row r="15">
      <c r="A15" s="33"/>
      <c r="B15" s="142"/>
      <c r="C15" s="425" t="s">
        <v>165</v>
      </c>
      <c r="D15" s="426" t="s">
        <v>43</v>
      </c>
      <c r="E15" s="1522"/>
      <c r="F15" s="427">
        <v>3.0</v>
      </c>
      <c r="G15" s="1523" t="s">
        <v>73</v>
      </c>
      <c r="H15" s="142"/>
      <c r="I15" s="1515"/>
      <c r="J15" s="1515"/>
      <c r="K15" s="1473"/>
      <c r="L15" s="1474"/>
      <c r="M15" s="1475"/>
      <c r="N15" s="1521"/>
    </row>
    <row r="16">
      <c r="A16" s="56"/>
      <c r="B16" s="182"/>
      <c r="C16" s="1524" t="s">
        <v>38</v>
      </c>
      <c r="D16" s="1525" t="s">
        <v>36</v>
      </c>
      <c r="E16" s="1526"/>
      <c r="F16" s="1527">
        <v>3.0</v>
      </c>
      <c r="G16" s="1528" t="s">
        <v>73</v>
      </c>
      <c r="H16" s="182"/>
      <c r="I16" s="1515"/>
      <c r="J16" s="1515"/>
      <c r="K16" s="1502"/>
      <c r="L16" s="1486"/>
      <c r="M16" s="1487"/>
      <c r="N16" s="1503"/>
    </row>
    <row r="17">
      <c r="A17" s="341" t="s">
        <v>45</v>
      </c>
      <c r="B17" s="342">
        <v>45907.0</v>
      </c>
      <c r="C17" s="1529" t="s">
        <v>27</v>
      </c>
      <c r="D17" s="1530" t="s">
        <v>164</v>
      </c>
      <c r="E17" s="1531"/>
      <c r="F17" s="1532">
        <v>4.0</v>
      </c>
      <c r="G17" s="1533" t="s">
        <v>73</v>
      </c>
      <c r="H17" s="321" t="s">
        <v>122</v>
      </c>
      <c r="I17" s="1515"/>
      <c r="J17" s="1515"/>
      <c r="K17" s="1462"/>
      <c r="L17" s="1463"/>
      <c r="M17" s="1464"/>
      <c r="N17" s="1495"/>
      <c r="O17" s="241" t="s">
        <v>395</v>
      </c>
    </row>
    <row r="18">
      <c r="A18" s="33"/>
      <c r="B18" s="142"/>
      <c r="C18" s="1534" t="s">
        <v>40</v>
      </c>
      <c r="D18" s="1535" t="s">
        <v>67</v>
      </c>
      <c r="E18" s="1536"/>
      <c r="F18" s="1537">
        <v>4.0</v>
      </c>
      <c r="G18" s="1538" t="s">
        <v>73</v>
      </c>
      <c r="H18" s="142"/>
      <c r="I18" s="1515"/>
      <c r="J18" s="1515"/>
      <c r="K18" s="1473"/>
      <c r="L18" s="1474"/>
      <c r="M18" s="1475"/>
      <c r="N18" s="1521"/>
    </row>
    <row r="19">
      <c r="A19" s="33"/>
      <c r="B19" s="142"/>
      <c r="C19" s="425" t="s">
        <v>31</v>
      </c>
      <c r="D19" s="426" t="s">
        <v>43</v>
      </c>
      <c r="E19" s="1539"/>
      <c r="F19" s="1540">
        <v>4.0</v>
      </c>
      <c r="G19" s="1523" t="s">
        <v>73</v>
      </c>
      <c r="H19" s="142"/>
      <c r="I19" s="1515"/>
      <c r="J19" s="1515"/>
      <c r="K19" s="1473"/>
      <c r="L19" s="1474"/>
      <c r="M19" s="1475"/>
      <c r="N19" s="1521"/>
    </row>
    <row r="20">
      <c r="A20" s="56"/>
      <c r="B20" s="182"/>
      <c r="C20" s="313" t="s">
        <v>38</v>
      </c>
      <c r="D20" s="430" t="s">
        <v>24</v>
      </c>
      <c r="E20" s="431"/>
      <c r="F20" s="245">
        <v>3.0</v>
      </c>
      <c r="G20" s="315" t="s">
        <v>73</v>
      </c>
      <c r="H20" s="182"/>
      <c r="I20" s="1515"/>
      <c r="J20" s="1515"/>
      <c r="K20" s="1502"/>
      <c r="L20" s="1486"/>
      <c r="M20" s="1487"/>
      <c r="N20" s="1503"/>
    </row>
    <row r="21">
      <c r="D21" s="1515"/>
      <c r="E21" s="1515"/>
      <c r="F21" s="1515"/>
      <c r="G21" s="1515"/>
      <c r="H21" s="1515"/>
      <c r="I21" s="1515"/>
      <c r="J21" s="1515"/>
      <c r="K21" s="1515"/>
      <c r="L21" s="1515"/>
      <c r="M21" s="1515"/>
      <c r="N21" s="1515"/>
    </row>
    <row r="22">
      <c r="D22" s="1515"/>
      <c r="E22" s="1515"/>
      <c r="F22" s="1515"/>
      <c r="G22" s="1515"/>
      <c r="H22" s="1515"/>
      <c r="I22" s="1515"/>
      <c r="J22" s="1515"/>
      <c r="K22" s="1515"/>
      <c r="L22" s="1515"/>
      <c r="M22" s="1515"/>
      <c r="N22" s="1515"/>
    </row>
    <row r="23">
      <c r="A23" s="1" t="s">
        <v>397</v>
      </c>
      <c r="C23" s="2"/>
      <c r="D23" s="2"/>
      <c r="E23" s="2"/>
      <c r="F23" s="3"/>
      <c r="G23" s="2"/>
      <c r="H23" s="2"/>
      <c r="I23" s="3"/>
      <c r="J23" s="3"/>
      <c r="K23" s="3"/>
      <c r="L23" s="3"/>
      <c r="M23" s="3"/>
      <c r="N23" s="3"/>
    </row>
    <row r="24">
      <c r="C24" s="2"/>
      <c r="D24" s="2"/>
      <c r="E24" s="2"/>
      <c r="F24" s="3"/>
      <c r="G24" s="2"/>
      <c r="H24" s="2"/>
      <c r="I24" s="3"/>
      <c r="J24" s="3"/>
      <c r="K24" s="3"/>
      <c r="L24" s="3"/>
      <c r="M24" s="3"/>
      <c r="N24" s="3"/>
    </row>
    <row r="25">
      <c r="A25" s="8" t="s">
        <v>10</v>
      </c>
      <c r="B25" s="9" t="s">
        <v>11</v>
      </c>
      <c r="C25" s="9" t="s">
        <v>12</v>
      </c>
      <c r="D25" s="9" t="s">
        <v>13</v>
      </c>
      <c r="E25" s="9" t="s">
        <v>14</v>
      </c>
      <c r="F25" s="10" t="s">
        <v>15</v>
      </c>
      <c r="G25" s="9" t="s">
        <v>16</v>
      </c>
      <c r="H25" s="1452" t="s">
        <v>17</v>
      </c>
      <c r="I25" s="1453" t="s">
        <v>18</v>
      </c>
      <c r="J25" s="1454" t="s">
        <v>19</v>
      </c>
      <c r="K25" s="1455" t="s">
        <v>20</v>
      </c>
      <c r="L25" s="1455" t="s">
        <v>21</v>
      </c>
      <c r="M25" s="1455" t="s">
        <v>22</v>
      </c>
      <c r="N25" s="1456" t="s">
        <v>23</v>
      </c>
      <c r="Q25" s="241" t="s">
        <v>398</v>
      </c>
    </row>
    <row r="26">
      <c r="A26" s="341" t="s">
        <v>55</v>
      </c>
      <c r="B26" s="1457">
        <v>45908.0</v>
      </c>
      <c r="C26" s="1541" t="s">
        <v>311</v>
      </c>
      <c r="D26" s="1530" t="s">
        <v>230</v>
      </c>
      <c r="E26" s="1530" t="s">
        <v>399</v>
      </c>
      <c r="F26" s="1542">
        <v>3.0</v>
      </c>
      <c r="G26" s="1533" t="s">
        <v>73</v>
      </c>
      <c r="H26" s="1492" t="s">
        <v>400</v>
      </c>
      <c r="I26" s="1460"/>
      <c r="J26" s="1461"/>
      <c r="K26" s="1462"/>
      <c r="L26" s="1463"/>
      <c r="M26" s="1464"/>
      <c r="N26" s="1543"/>
      <c r="O26" s="241" t="s">
        <v>395</v>
      </c>
    </row>
    <row r="27">
      <c r="A27" s="33"/>
      <c r="B27" s="39"/>
      <c r="C27" s="1544" t="s">
        <v>116</v>
      </c>
      <c r="D27" s="1545" t="s">
        <v>67</v>
      </c>
      <c r="E27" s="1546" t="s">
        <v>401</v>
      </c>
      <c r="F27" s="1547">
        <v>3.0</v>
      </c>
      <c r="G27" s="1548" t="s">
        <v>73</v>
      </c>
      <c r="H27" s="142"/>
      <c r="I27" s="1471"/>
      <c r="J27" s="1472"/>
      <c r="K27" s="1473"/>
      <c r="L27" s="1474"/>
      <c r="M27" s="1475"/>
      <c r="N27" s="1549"/>
    </row>
    <row r="28">
      <c r="A28" s="33"/>
      <c r="B28" s="39"/>
      <c r="C28" s="1550" t="s">
        <v>390</v>
      </c>
      <c r="D28" s="1520" t="s">
        <v>28</v>
      </c>
      <c r="E28" s="34"/>
      <c r="F28" s="1551">
        <v>3.0</v>
      </c>
      <c r="G28" s="482" t="s">
        <v>73</v>
      </c>
      <c r="H28" s="142"/>
      <c r="I28" s="1471"/>
      <c r="J28" s="1472"/>
      <c r="K28" s="1473"/>
      <c r="L28" s="1474"/>
      <c r="M28" s="1475"/>
      <c r="N28" s="1549"/>
    </row>
    <row r="29">
      <c r="A29" s="56"/>
      <c r="B29" s="57"/>
      <c r="C29" s="463" t="s">
        <v>294</v>
      </c>
      <c r="D29" s="456" t="s">
        <v>92</v>
      </c>
      <c r="E29" s="80"/>
      <c r="F29" s="457">
        <v>4.0</v>
      </c>
      <c r="G29" s="415" t="s">
        <v>73</v>
      </c>
      <c r="H29" s="182"/>
      <c r="I29" s="1483"/>
      <c r="J29" s="1484"/>
      <c r="K29" s="1502"/>
      <c r="L29" s="1486"/>
      <c r="M29" s="1487"/>
      <c r="N29" s="1552"/>
    </row>
    <row r="30">
      <c r="A30" s="341" t="s">
        <v>58</v>
      </c>
      <c r="B30" s="342">
        <v>45909.0</v>
      </c>
      <c r="C30" s="1509" t="s">
        <v>27</v>
      </c>
      <c r="D30" s="1510" t="s">
        <v>164</v>
      </c>
      <c r="E30" s="1553" t="s">
        <v>402</v>
      </c>
      <c r="F30" s="1512">
        <v>4.0</v>
      </c>
      <c r="G30" s="1513" t="s">
        <v>73</v>
      </c>
      <c r="H30" s="1514" t="s">
        <v>403</v>
      </c>
      <c r="I30" s="1515"/>
      <c r="J30" s="1515"/>
      <c r="K30" s="1516"/>
      <c r="L30" s="1517"/>
      <c r="M30" s="1518"/>
      <c r="N30" s="1519"/>
    </row>
    <row r="31">
      <c r="A31" s="33"/>
      <c r="B31" s="142"/>
      <c r="C31" s="304" t="s">
        <v>216</v>
      </c>
      <c r="D31" s="397" t="s">
        <v>43</v>
      </c>
      <c r="E31" s="34"/>
      <c r="F31" s="140">
        <v>3.0</v>
      </c>
      <c r="G31" s="305" t="s">
        <v>73</v>
      </c>
      <c r="H31" s="142"/>
      <c r="I31" s="1515"/>
      <c r="J31" s="1515"/>
      <c r="K31" s="1473"/>
      <c r="L31" s="1474"/>
      <c r="M31" s="1475"/>
      <c r="N31" s="1521"/>
    </row>
    <row r="32">
      <c r="A32" s="33"/>
      <c r="B32" s="142"/>
      <c r="C32" s="491" t="s">
        <v>404</v>
      </c>
      <c r="D32" s="492" t="s">
        <v>63</v>
      </c>
      <c r="E32" s="356"/>
      <c r="F32" s="493">
        <v>3.2</v>
      </c>
      <c r="G32" s="494" t="s">
        <v>73</v>
      </c>
      <c r="H32" s="142"/>
      <c r="I32" s="1515"/>
      <c r="J32" s="1515"/>
      <c r="K32" s="1473"/>
      <c r="L32" s="1474"/>
      <c r="M32" s="1475"/>
      <c r="N32" s="1521"/>
    </row>
    <row r="33">
      <c r="A33" s="56"/>
      <c r="B33" s="182"/>
      <c r="C33" s="1554" t="s">
        <v>294</v>
      </c>
      <c r="D33" s="1555" t="s">
        <v>71</v>
      </c>
      <c r="E33" s="1556"/>
      <c r="F33" s="219">
        <v>4.0</v>
      </c>
      <c r="G33" s="1557" t="s">
        <v>73</v>
      </c>
      <c r="H33" s="182"/>
      <c r="I33" s="1515"/>
      <c r="J33" s="1515"/>
      <c r="K33" s="1502"/>
      <c r="L33" s="1486"/>
      <c r="M33" s="1487"/>
      <c r="N33" s="1503"/>
    </row>
    <row r="34">
      <c r="A34" s="341" t="s">
        <v>62</v>
      </c>
      <c r="B34" s="1457">
        <v>45910.0</v>
      </c>
      <c r="C34" s="1558" t="s">
        <v>405</v>
      </c>
      <c r="D34" s="1559" t="s">
        <v>63</v>
      </c>
      <c r="E34" s="1560" t="s">
        <v>406</v>
      </c>
      <c r="F34" s="1561">
        <v>3.0</v>
      </c>
      <c r="G34" s="1562" t="s">
        <v>73</v>
      </c>
      <c r="H34" s="1492" t="s">
        <v>74</v>
      </c>
      <c r="I34" s="1493"/>
      <c r="J34" s="1494"/>
      <c r="K34" s="1462"/>
      <c r="L34" s="1463"/>
      <c r="M34" s="1464"/>
      <c r="N34" s="1495"/>
    </row>
    <row r="35">
      <c r="A35" s="33"/>
      <c r="B35" s="39"/>
      <c r="C35" s="1563" t="s">
        <v>407</v>
      </c>
      <c r="D35" s="1564" t="s">
        <v>71</v>
      </c>
      <c r="E35" s="80"/>
      <c r="F35" s="1565">
        <v>3.0</v>
      </c>
      <c r="G35" s="1557" t="s">
        <v>73</v>
      </c>
      <c r="H35" s="182"/>
      <c r="I35" s="1500"/>
      <c r="J35" s="1501"/>
      <c r="K35" s="1502"/>
      <c r="L35" s="1486"/>
      <c r="M35" s="1487"/>
      <c r="N35" s="1503"/>
    </row>
    <row r="36">
      <c r="A36" s="33"/>
      <c r="B36" s="39"/>
      <c r="C36" s="1566" t="s">
        <v>31</v>
      </c>
      <c r="D36" s="1567" t="s">
        <v>230</v>
      </c>
      <c r="E36" s="1511" t="s">
        <v>65</v>
      </c>
      <c r="F36" s="1532">
        <v>4.0</v>
      </c>
      <c r="G36" s="1568" t="s">
        <v>73</v>
      </c>
      <c r="H36" s="416" t="s">
        <v>61</v>
      </c>
      <c r="I36" s="1515"/>
      <c r="J36" s="1515"/>
      <c r="K36" s="1462"/>
      <c r="L36" s="1463"/>
      <c r="M36" s="1464"/>
      <c r="N36" s="1495"/>
    </row>
    <row r="37">
      <c r="A37" s="56"/>
      <c r="B37" s="57"/>
      <c r="C37" s="412" t="s">
        <v>38</v>
      </c>
      <c r="D37" s="413" t="s">
        <v>92</v>
      </c>
      <c r="E37" s="414"/>
      <c r="F37" s="227">
        <v>3.0</v>
      </c>
      <c r="G37" s="1569" t="s">
        <v>73</v>
      </c>
      <c r="H37" s="182"/>
      <c r="I37" s="1515"/>
      <c r="J37" s="1515"/>
      <c r="K37" s="1502"/>
      <c r="L37" s="1486"/>
      <c r="M37" s="1487"/>
      <c r="N37" s="1503"/>
    </row>
    <row r="38">
      <c r="A38" s="341" t="s">
        <v>41</v>
      </c>
      <c r="B38" s="342">
        <v>45913.0</v>
      </c>
      <c r="C38" s="1570" t="s">
        <v>27</v>
      </c>
      <c r="D38" s="1571" t="s">
        <v>36</v>
      </c>
      <c r="E38" s="1572"/>
      <c r="F38" s="1573">
        <v>4.0</v>
      </c>
      <c r="G38" s="1574" t="s">
        <v>73</v>
      </c>
      <c r="H38" s="1514" t="s">
        <v>122</v>
      </c>
      <c r="I38" s="1515"/>
      <c r="J38" s="1515"/>
      <c r="K38" s="1516"/>
      <c r="L38" s="1517"/>
      <c r="M38" s="1518"/>
      <c r="N38" s="1519"/>
    </row>
    <row r="39">
      <c r="A39" s="33"/>
      <c r="B39" s="142"/>
      <c r="C39" s="479" t="s">
        <v>40</v>
      </c>
      <c r="D39" s="480" t="s">
        <v>63</v>
      </c>
      <c r="E39" s="1520"/>
      <c r="F39" s="481">
        <v>4.0</v>
      </c>
      <c r="G39" s="482" t="s">
        <v>73</v>
      </c>
      <c r="H39" s="142"/>
      <c r="I39" s="1515"/>
      <c r="J39" s="1515"/>
      <c r="K39" s="1473"/>
      <c r="L39" s="1474"/>
      <c r="M39" s="1475"/>
      <c r="N39" s="1521"/>
    </row>
    <row r="40">
      <c r="A40" s="33"/>
      <c r="B40" s="142"/>
      <c r="C40" s="309" t="s">
        <v>151</v>
      </c>
      <c r="D40" s="1575" t="s">
        <v>92</v>
      </c>
      <c r="E40" s="1576"/>
      <c r="F40" s="1577">
        <v>3.0</v>
      </c>
      <c r="G40" s="312" t="s">
        <v>73</v>
      </c>
      <c r="H40" s="142"/>
      <c r="I40" s="1515"/>
      <c r="J40" s="1515"/>
      <c r="K40" s="1473"/>
      <c r="L40" s="1474"/>
      <c r="M40" s="1475"/>
      <c r="N40" s="1521"/>
    </row>
    <row r="41">
      <c r="A41" s="56"/>
      <c r="B41" s="182"/>
      <c r="C41" s="404" t="s">
        <v>157</v>
      </c>
      <c r="D41" s="386" t="s">
        <v>164</v>
      </c>
      <c r="E41" s="387"/>
      <c r="F41" s="405">
        <v>4.0</v>
      </c>
      <c r="G41" s="389" t="s">
        <v>73</v>
      </c>
      <c r="H41" s="182"/>
      <c r="I41" s="1515"/>
      <c r="J41" s="1515"/>
      <c r="K41" s="1502"/>
      <c r="L41" s="1486"/>
      <c r="M41" s="1487"/>
      <c r="N41" s="1503"/>
    </row>
    <row r="42">
      <c r="A42" s="341" t="s">
        <v>45</v>
      </c>
      <c r="B42" s="342">
        <v>45914.0</v>
      </c>
      <c r="C42" s="296" t="s">
        <v>27</v>
      </c>
      <c r="D42" s="344" t="s">
        <v>28</v>
      </c>
      <c r="E42" s="395"/>
      <c r="F42" s="297">
        <v>4.0</v>
      </c>
      <c r="G42" s="298" t="s">
        <v>73</v>
      </c>
      <c r="H42" s="321" t="s">
        <v>403</v>
      </c>
      <c r="I42" s="1515"/>
      <c r="J42" s="1515"/>
      <c r="K42" s="1462"/>
      <c r="L42" s="1463"/>
      <c r="M42" s="1464"/>
      <c r="N42" s="1495"/>
    </row>
    <row r="43">
      <c r="A43" s="33"/>
      <c r="B43" s="142"/>
      <c r="C43" s="1578" t="s">
        <v>216</v>
      </c>
      <c r="D43" s="1579" t="s">
        <v>39</v>
      </c>
      <c r="E43" s="1580"/>
      <c r="F43" s="1581">
        <v>3.0</v>
      </c>
      <c r="G43" s="1582" t="s">
        <v>73</v>
      </c>
      <c r="H43" s="142"/>
      <c r="I43" s="1515"/>
      <c r="J43" s="1515"/>
      <c r="K43" s="1473"/>
      <c r="L43" s="1474"/>
      <c r="M43" s="1475"/>
      <c r="N43" s="1521"/>
    </row>
    <row r="44">
      <c r="A44" s="33"/>
      <c r="B44" s="142"/>
      <c r="C44" s="408" t="s">
        <v>155</v>
      </c>
      <c r="D44" s="355" t="s">
        <v>71</v>
      </c>
      <c r="E44" s="355" t="s">
        <v>408</v>
      </c>
      <c r="F44" s="1583">
        <v>4.0</v>
      </c>
      <c r="G44" s="409" t="s">
        <v>73</v>
      </c>
      <c r="H44" s="142"/>
      <c r="I44" s="1515"/>
      <c r="J44" s="1515"/>
      <c r="K44" s="1473"/>
      <c r="L44" s="1474"/>
      <c r="M44" s="1475"/>
      <c r="N44" s="1521"/>
    </row>
    <row r="45">
      <c r="A45" s="56"/>
      <c r="B45" s="182"/>
      <c r="C45" s="404" t="s">
        <v>157</v>
      </c>
      <c r="D45" s="386" t="s">
        <v>230</v>
      </c>
      <c r="E45" s="387"/>
      <c r="F45" s="405">
        <v>4.0</v>
      </c>
      <c r="G45" s="389" t="s">
        <v>73</v>
      </c>
      <c r="H45" s="182"/>
      <c r="I45" s="1515"/>
      <c r="J45" s="1515"/>
      <c r="K45" s="1502"/>
      <c r="L45" s="1486"/>
      <c r="M45" s="1487"/>
      <c r="N45" s="1503"/>
    </row>
    <row r="46">
      <c r="D46" s="1515"/>
      <c r="E46" s="1515"/>
      <c r="F46" s="1515"/>
      <c r="G46" s="1515"/>
      <c r="H46" s="1515"/>
      <c r="I46" s="1515"/>
      <c r="J46" s="1515"/>
      <c r="K46" s="1515"/>
      <c r="L46" s="1515"/>
      <c r="M46" s="1515"/>
      <c r="N46" s="1515"/>
    </row>
    <row r="47">
      <c r="D47" s="1515"/>
      <c r="E47" s="1515"/>
      <c r="F47" s="1515"/>
      <c r="G47" s="1515"/>
      <c r="H47" s="1515"/>
      <c r="I47" s="1515"/>
      <c r="J47" s="1515"/>
      <c r="K47" s="1515"/>
      <c r="L47" s="1515"/>
      <c r="M47" s="1515"/>
      <c r="N47" s="1515"/>
    </row>
    <row r="48">
      <c r="A48" s="1" t="s">
        <v>409</v>
      </c>
      <c r="D48" s="1515"/>
      <c r="E48" s="1515"/>
      <c r="F48" s="1515"/>
      <c r="G48" s="1515"/>
      <c r="H48" s="1515"/>
      <c r="I48" s="1515"/>
      <c r="J48" s="1515"/>
      <c r="K48" s="1515"/>
      <c r="L48" s="1515"/>
      <c r="M48" s="1515"/>
      <c r="N48" s="1515"/>
    </row>
    <row r="50">
      <c r="A50" s="8" t="s">
        <v>10</v>
      </c>
      <c r="B50" s="1452" t="s">
        <v>11</v>
      </c>
      <c r="C50" s="1584" t="s">
        <v>12</v>
      </c>
      <c r="D50" s="9" t="s">
        <v>13</v>
      </c>
      <c r="E50" s="9" t="s">
        <v>14</v>
      </c>
      <c r="F50" s="10" t="s">
        <v>15</v>
      </c>
      <c r="G50" s="9" t="s">
        <v>16</v>
      </c>
      <c r="H50" s="1452" t="s">
        <v>17</v>
      </c>
    </row>
    <row r="51">
      <c r="A51" s="341" t="s">
        <v>55</v>
      </c>
      <c r="B51" s="1585">
        <v>45915.0</v>
      </c>
      <c r="C51" s="296" t="s">
        <v>27</v>
      </c>
      <c r="D51" s="344" t="s">
        <v>63</v>
      </c>
      <c r="E51" s="344" t="s">
        <v>71</v>
      </c>
      <c r="F51" s="346">
        <v>4.0</v>
      </c>
      <c r="G51" s="298" t="s">
        <v>73</v>
      </c>
      <c r="H51" s="1586" t="s">
        <v>122</v>
      </c>
    </row>
    <row r="52">
      <c r="A52" s="33"/>
      <c r="B52" s="142"/>
      <c r="C52" s="420" t="s">
        <v>40</v>
      </c>
      <c r="D52" s="421" t="s">
        <v>164</v>
      </c>
      <c r="E52" s="1587"/>
      <c r="F52" s="1588">
        <v>4.0</v>
      </c>
      <c r="G52" s="509" t="s">
        <v>73</v>
      </c>
      <c r="H52" s="142"/>
    </row>
    <row r="53">
      <c r="A53" s="33"/>
      <c r="B53" s="142"/>
      <c r="C53" s="309" t="s">
        <v>31</v>
      </c>
      <c r="D53" s="401" t="s">
        <v>39</v>
      </c>
      <c r="E53" s="1589"/>
      <c r="F53" s="1590">
        <v>4.0</v>
      </c>
      <c r="G53" s="312" t="s">
        <v>73</v>
      </c>
      <c r="H53" s="142"/>
    </row>
    <row r="54">
      <c r="A54" s="56"/>
      <c r="B54" s="182"/>
      <c r="C54" s="313" t="s">
        <v>38</v>
      </c>
      <c r="D54" s="1591" t="s">
        <v>101</v>
      </c>
      <c r="E54" s="1592"/>
      <c r="F54" s="1593">
        <v>3.0</v>
      </c>
      <c r="G54" s="315" t="s">
        <v>73</v>
      </c>
      <c r="H54" s="182"/>
    </row>
    <row r="55">
      <c r="A55" s="341" t="s">
        <v>62</v>
      </c>
      <c r="B55" s="342">
        <v>45917.0</v>
      </c>
      <c r="C55" s="419" t="s">
        <v>151</v>
      </c>
      <c r="D55" s="344" t="s">
        <v>63</v>
      </c>
      <c r="E55" s="344" t="s">
        <v>410</v>
      </c>
      <c r="F55" s="346">
        <v>3.0</v>
      </c>
      <c r="G55" s="482" t="s">
        <v>73</v>
      </c>
      <c r="H55" s="1492" t="s">
        <v>74</v>
      </c>
    </row>
    <row r="56">
      <c r="A56" s="56"/>
      <c r="B56" s="182"/>
      <c r="C56" s="1554" t="s">
        <v>392</v>
      </c>
      <c r="D56" s="1555" t="s">
        <v>71</v>
      </c>
      <c r="E56" s="1555" t="s">
        <v>164</v>
      </c>
      <c r="F56" s="1594">
        <v>3.0</v>
      </c>
      <c r="G56" s="1557" t="s">
        <v>73</v>
      </c>
      <c r="H56" s="182"/>
      <c r="T56" s="1595"/>
    </row>
    <row r="57">
      <c r="A57" s="341" t="s">
        <v>41</v>
      </c>
      <c r="B57" s="342">
        <v>45920.0</v>
      </c>
      <c r="C57" s="296" t="s">
        <v>27</v>
      </c>
      <c r="D57" s="344" t="s">
        <v>63</v>
      </c>
      <c r="E57" s="1596"/>
      <c r="F57" s="346">
        <v>4.0</v>
      </c>
      <c r="G57" s="298" t="s">
        <v>73</v>
      </c>
      <c r="H57" s="1597" t="s">
        <v>403</v>
      </c>
    </row>
    <row r="58">
      <c r="A58" s="33"/>
      <c r="B58" s="142"/>
      <c r="C58" s="304" t="s">
        <v>40</v>
      </c>
      <c r="D58" s="397" t="s">
        <v>43</v>
      </c>
      <c r="E58" s="1598"/>
      <c r="F58" s="1599">
        <v>4.0</v>
      </c>
      <c r="G58" s="305" t="s">
        <v>73</v>
      </c>
      <c r="H58" s="142"/>
    </row>
    <row r="59">
      <c r="A59" s="33"/>
      <c r="B59" s="142"/>
      <c r="C59" s="420" t="s">
        <v>31</v>
      </c>
      <c r="D59" s="421" t="s">
        <v>164</v>
      </c>
      <c r="E59" s="1600"/>
      <c r="F59" s="1588">
        <v>4.0</v>
      </c>
      <c r="G59" s="509" t="s">
        <v>73</v>
      </c>
      <c r="H59" s="142"/>
    </row>
    <row r="60">
      <c r="A60" s="56"/>
      <c r="B60" s="182"/>
      <c r="C60" s="1601" t="s">
        <v>38</v>
      </c>
      <c r="D60" s="1602" t="s">
        <v>36</v>
      </c>
      <c r="E60" s="1603"/>
      <c r="F60" s="1604">
        <v>3.0</v>
      </c>
      <c r="G60" s="1605" t="s">
        <v>73</v>
      </c>
      <c r="H60" s="182"/>
    </row>
    <row r="61">
      <c r="A61" s="341" t="s">
        <v>45</v>
      </c>
      <c r="B61" s="342">
        <v>45921.0</v>
      </c>
      <c r="C61" s="296" t="s">
        <v>27</v>
      </c>
      <c r="D61" s="344" t="s">
        <v>63</v>
      </c>
      <c r="E61" s="344"/>
      <c r="F61" s="346">
        <v>4.0</v>
      </c>
      <c r="G61" s="1606" t="s">
        <v>30</v>
      </c>
      <c r="H61" s="1586" t="s">
        <v>122</v>
      </c>
    </row>
    <row r="62">
      <c r="A62" s="33"/>
      <c r="B62" s="142"/>
      <c r="C62" s="420" t="s">
        <v>216</v>
      </c>
      <c r="D62" s="421" t="s">
        <v>164</v>
      </c>
      <c r="E62" s="421" t="s">
        <v>411</v>
      </c>
      <c r="F62" s="1588">
        <v>3.0</v>
      </c>
      <c r="G62" s="1607" t="s">
        <v>30</v>
      </c>
      <c r="H62" s="142"/>
    </row>
    <row r="63">
      <c r="A63" s="33"/>
      <c r="B63" s="142"/>
      <c r="C63" s="304" t="s">
        <v>211</v>
      </c>
      <c r="D63" s="397" t="s">
        <v>43</v>
      </c>
      <c r="E63" s="1598"/>
      <c r="F63" s="1599">
        <v>5.0</v>
      </c>
      <c r="G63" s="1608" t="s">
        <v>30</v>
      </c>
      <c r="H63" s="142"/>
      <c r="U63" s="1609"/>
    </row>
    <row r="64">
      <c r="A64" s="56"/>
      <c r="B64" s="182"/>
      <c r="C64" s="412" t="s">
        <v>38</v>
      </c>
      <c r="D64" s="413" t="s">
        <v>39</v>
      </c>
      <c r="E64" s="1610"/>
      <c r="F64" s="464">
        <v>3.0</v>
      </c>
      <c r="G64" s="1611" t="s">
        <v>30</v>
      </c>
      <c r="H64" s="182"/>
    </row>
    <row r="67">
      <c r="A67" s="1" t="s">
        <v>412</v>
      </c>
    </row>
    <row r="69">
      <c r="A69" s="8" t="s">
        <v>10</v>
      </c>
      <c r="B69" s="1452" t="s">
        <v>11</v>
      </c>
      <c r="C69" s="1584" t="s">
        <v>12</v>
      </c>
      <c r="D69" s="9" t="s">
        <v>13</v>
      </c>
      <c r="E69" s="9" t="s">
        <v>14</v>
      </c>
      <c r="F69" s="10" t="s">
        <v>15</v>
      </c>
      <c r="G69" s="9" t="s">
        <v>16</v>
      </c>
      <c r="H69" s="1452" t="s">
        <v>17</v>
      </c>
    </row>
    <row r="70">
      <c r="A70" s="341" t="s">
        <v>62</v>
      </c>
      <c r="B70" s="1585">
        <v>45924.0</v>
      </c>
      <c r="C70" s="1612" t="s">
        <v>27</v>
      </c>
      <c r="D70" s="395" t="s">
        <v>28</v>
      </c>
      <c r="E70" s="1613"/>
      <c r="F70" s="346">
        <v>4.0</v>
      </c>
      <c r="G70" s="298" t="s">
        <v>73</v>
      </c>
      <c r="H70" s="1597" t="s">
        <v>122</v>
      </c>
    </row>
    <row r="71">
      <c r="A71" s="33"/>
      <c r="B71" s="142"/>
      <c r="C71" s="1614" t="s">
        <v>40</v>
      </c>
      <c r="D71" s="417" t="s">
        <v>71</v>
      </c>
      <c r="E71" s="1615"/>
      <c r="F71" s="357">
        <v>4.0</v>
      </c>
      <c r="G71" s="409" t="s">
        <v>73</v>
      </c>
      <c r="H71" s="142"/>
    </row>
    <row r="72">
      <c r="A72" s="33"/>
      <c r="B72" s="142"/>
      <c r="C72" s="1616" t="s">
        <v>31</v>
      </c>
      <c r="D72" s="1467" t="s">
        <v>164</v>
      </c>
      <c r="E72" s="422"/>
      <c r="F72" s="1588">
        <v>4.0</v>
      </c>
      <c r="G72" s="509" t="s">
        <v>73</v>
      </c>
      <c r="H72" s="142"/>
    </row>
    <row r="73">
      <c r="A73" s="56"/>
      <c r="B73" s="182"/>
      <c r="C73" s="1617" t="s">
        <v>38</v>
      </c>
      <c r="D73" s="1618" t="s">
        <v>36</v>
      </c>
      <c r="E73" s="1619"/>
      <c r="F73" s="1604">
        <v>3.0</v>
      </c>
      <c r="G73" s="1605" t="s">
        <v>73</v>
      </c>
      <c r="H73" s="182"/>
    </row>
    <row r="74">
      <c r="A74" s="341" t="s">
        <v>77</v>
      </c>
      <c r="B74" s="342">
        <v>45925.0</v>
      </c>
      <c r="C74" s="296" t="s">
        <v>27</v>
      </c>
      <c r="D74" s="395" t="s">
        <v>28</v>
      </c>
      <c r="E74" s="1613"/>
      <c r="F74" s="346">
        <v>4.0</v>
      </c>
      <c r="G74" s="298" t="s">
        <v>73</v>
      </c>
      <c r="H74" s="416" t="s">
        <v>61</v>
      </c>
      <c r="R74" s="243" t="s">
        <v>413</v>
      </c>
      <c r="S74" s="1609"/>
    </row>
    <row r="75">
      <c r="A75" s="33"/>
      <c r="B75" s="142"/>
      <c r="C75" s="304" t="s">
        <v>216</v>
      </c>
      <c r="D75" s="1620" t="s">
        <v>43</v>
      </c>
      <c r="E75" s="1621"/>
      <c r="F75" s="1622">
        <v>3.0</v>
      </c>
      <c r="G75" s="305" t="s">
        <v>73</v>
      </c>
      <c r="H75" s="142"/>
    </row>
    <row r="76">
      <c r="A76" s="33"/>
      <c r="B76" s="142"/>
      <c r="C76" s="1623" t="s">
        <v>414</v>
      </c>
      <c r="D76" s="1553" t="s">
        <v>24</v>
      </c>
      <c r="E76" s="1624"/>
      <c r="F76" s="1625">
        <v>2.0</v>
      </c>
      <c r="G76" s="1626" t="s">
        <v>73</v>
      </c>
      <c r="H76" s="142"/>
    </row>
    <row r="77">
      <c r="A77" s="33"/>
      <c r="B77" s="142"/>
      <c r="C77" s="1623" t="s">
        <v>415</v>
      </c>
      <c r="D77" s="1627" t="s">
        <v>36</v>
      </c>
      <c r="E77" s="1628"/>
      <c r="F77" s="1629">
        <v>2.0</v>
      </c>
      <c r="G77" s="1548" t="s">
        <v>73</v>
      </c>
      <c r="H77" s="142"/>
    </row>
    <row r="78">
      <c r="A78" s="33"/>
      <c r="B78" s="142"/>
      <c r="C78" s="404" t="s">
        <v>157</v>
      </c>
      <c r="D78" s="1497" t="s">
        <v>164</v>
      </c>
      <c r="E78" s="387"/>
      <c r="F78" s="388">
        <v>4.0</v>
      </c>
      <c r="G78" s="389" t="s">
        <v>73</v>
      </c>
      <c r="H78" s="182"/>
    </row>
    <row r="79" hidden="1">
      <c r="A79" s="56"/>
      <c r="B79" s="182"/>
      <c r="C79" s="1630" t="s">
        <v>266</v>
      </c>
      <c r="D79" s="1631" t="s">
        <v>71</v>
      </c>
      <c r="E79" s="1631" t="s">
        <v>416</v>
      </c>
      <c r="F79" s="1632">
        <v>6.0</v>
      </c>
      <c r="G79" s="1633" t="s">
        <v>73</v>
      </c>
      <c r="H79" s="1634" t="s">
        <v>417</v>
      </c>
    </row>
    <row r="80">
      <c r="A80" s="341" t="s">
        <v>41</v>
      </c>
      <c r="B80" s="342">
        <v>45927.0</v>
      </c>
      <c r="C80" s="296" t="s">
        <v>27</v>
      </c>
      <c r="D80" s="395" t="s">
        <v>63</v>
      </c>
      <c r="E80" s="345" t="s">
        <v>366</v>
      </c>
      <c r="F80" s="346">
        <v>4.0</v>
      </c>
      <c r="G80" s="298" t="s">
        <v>73</v>
      </c>
      <c r="H80" s="1586" t="s">
        <v>122</v>
      </c>
    </row>
    <row r="81">
      <c r="A81" s="33"/>
      <c r="B81" s="142"/>
      <c r="C81" s="304" t="s">
        <v>216</v>
      </c>
      <c r="D81" s="398" t="s">
        <v>43</v>
      </c>
      <c r="E81" s="356"/>
      <c r="F81" s="1599">
        <v>3.0</v>
      </c>
      <c r="G81" s="305" t="s">
        <v>73</v>
      </c>
      <c r="H81" s="142"/>
    </row>
    <row r="82">
      <c r="A82" s="33"/>
      <c r="B82" s="142"/>
      <c r="C82" s="309" t="s">
        <v>155</v>
      </c>
      <c r="D82" s="1635" t="s">
        <v>39</v>
      </c>
      <c r="E82" s="402"/>
      <c r="F82" s="1590">
        <v>4.0</v>
      </c>
      <c r="G82" s="312" t="s">
        <v>73</v>
      </c>
      <c r="H82" s="142"/>
    </row>
    <row r="83">
      <c r="A83" s="33"/>
      <c r="B83" s="142"/>
      <c r="C83" s="404" t="s">
        <v>157</v>
      </c>
      <c r="D83" s="1497" t="s">
        <v>164</v>
      </c>
      <c r="E83" s="387"/>
      <c r="F83" s="388">
        <v>4.0</v>
      </c>
      <c r="G83" s="389" t="s">
        <v>73</v>
      </c>
      <c r="H83" s="182"/>
    </row>
    <row r="84">
      <c r="A84" s="56"/>
      <c r="B84" s="182"/>
      <c r="C84" s="1636" t="s">
        <v>266</v>
      </c>
      <c r="D84" s="1637" t="s">
        <v>71</v>
      </c>
      <c r="E84" s="1637" t="s">
        <v>145</v>
      </c>
      <c r="F84" s="1638">
        <v>6.0</v>
      </c>
      <c r="G84" s="1639" t="s">
        <v>30</v>
      </c>
      <c r="H84" s="1640" t="s">
        <v>417</v>
      </c>
    </row>
    <row r="85">
      <c r="A85" s="1641" t="s">
        <v>45</v>
      </c>
      <c r="B85" s="1642">
        <v>45928.0</v>
      </c>
      <c r="C85" s="1643" t="s">
        <v>418</v>
      </c>
      <c r="D85" s="1620" t="s">
        <v>43</v>
      </c>
      <c r="E85" s="1627" t="s">
        <v>366</v>
      </c>
      <c r="F85" s="1622">
        <v>3.0</v>
      </c>
      <c r="G85" s="1644" t="s">
        <v>73</v>
      </c>
      <c r="H85" s="1586" t="s">
        <v>122</v>
      </c>
    </row>
    <row r="86">
      <c r="A86" s="33"/>
      <c r="B86" s="142"/>
      <c r="C86" s="479" t="s">
        <v>210</v>
      </c>
      <c r="D86" s="1520" t="s">
        <v>28</v>
      </c>
      <c r="E86" s="356"/>
      <c r="F86" s="1645">
        <v>4.0</v>
      </c>
      <c r="G86" s="482" t="s">
        <v>73</v>
      </c>
      <c r="H86" s="142"/>
    </row>
    <row r="87">
      <c r="A87" s="33"/>
      <c r="B87" s="142"/>
      <c r="C87" s="408" t="s">
        <v>155</v>
      </c>
      <c r="D87" s="417" t="s">
        <v>71</v>
      </c>
      <c r="E87" s="1615"/>
      <c r="F87" s="357">
        <v>4.0</v>
      </c>
      <c r="G87" s="409" t="s">
        <v>73</v>
      </c>
      <c r="H87" s="142"/>
    </row>
    <row r="88">
      <c r="A88" s="56"/>
      <c r="B88" s="182"/>
      <c r="C88" s="404" t="s">
        <v>157</v>
      </c>
      <c r="D88" s="1497" t="s">
        <v>164</v>
      </c>
      <c r="E88" s="387"/>
      <c r="F88" s="388">
        <v>4.0</v>
      </c>
      <c r="G88" s="389" t="s">
        <v>73</v>
      </c>
      <c r="H88" s="182"/>
    </row>
    <row r="89">
      <c r="F89" s="1646"/>
    </row>
    <row r="90">
      <c r="F90" s="1646"/>
    </row>
    <row r="91">
      <c r="A91" s="1" t="s">
        <v>419</v>
      </c>
      <c r="F91" s="1646"/>
    </row>
    <row r="92">
      <c r="F92" s="1646"/>
    </row>
    <row r="93">
      <c r="A93" s="8" t="s">
        <v>10</v>
      </c>
      <c r="B93" s="1452" t="s">
        <v>11</v>
      </c>
      <c r="C93" s="1584" t="s">
        <v>12</v>
      </c>
      <c r="D93" s="9" t="s">
        <v>13</v>
      </c>
      <c r="E93" s="9" t="s">
        <v>14</v>
      </c>
      <c r="F93" s="10" t="s">
        <v>15</v>
      </c>
      <c r="G93" s="9" t="s">
        <v>16</v>
      </c>
      <c r="H93" s="1452" t="s">
        <v>17</v>
      </c>
    </row>
    <row r="94">
      <c r="A94" s="341" t="s">
        <v>55</v>
      </c>
      <c r="B94" s="1585">
        <v>45929.0</v>
      </c>
      <c r="C94" s="1612" t="s">
        <v>27</v>
      </c>
      <c r="D94" s="395" t="s">
        <v>28</v>
      </c>
      <c r="E94" s="1613"/>
      <c r="F94" s="346">
        <v>4.0</v>
      </c>
      <c r="G94" s="298" t="s">
        <v>73</v>
      </c>
      <c r="H94" s="1597" t="s">
        <v>122</v>
      </c>
    </row>
    <row r="95">
      <c r="A95" s="33"/>
      <c r="B95" s="142"/>
      <c r="C95" s="1614" t="s">
        <v>40</v>
      </c>
      <c r="D95" s="417" t="s">
        <v>71</v>
      </c>
      <c r="E95" s="1615"/>
      <c r="F95" s="357">
        <v>4.0</v>
      </c>
      <c r="G95" s="409" t="s">
        <v>73</v>
      </c>
      <c r="H95" s="142"/>
    </row>
    <row r="96">
      <c r="A96" s="33"/>
      <c r="B96" s="142"/>
      <c r="C96" s="1616" t="s">
        <v>31</v>
      </c>
      <c r="D96" s="1467" t="s">
        <v>164</v>
      </c>
      <c r="E96" s="422"/>
      <c r="F96" s="1588">
        <v>4.0</v>
      </c>
      <c r="G96" s="509" t="s">
        <v>73</v>
      </c>
      <c r="H96" s="142"/>
    </row>
    <row r="97">
      <c r="A97" s="56"/>
      <c r="B97" s="182"/>
      <c r="C97" s="1617" t="s">
        <v>38</v>
      </c>
      <c r="D97" s="1618" t="s">
        <v>36</v>
      </c>
      <c r="E97" s="1619"/>
      <c r="F97" s="1604">
        <v>3.0</v>
      </c>
      <c r="G97" s="1605" t="s">
        <v>73</v>
      </c>
      <c r="H97" s="182"/>
    </row>
    <row r="98">
      <c r="A98" s="341" t="s">
        <v>58</v>
      </c>
      <c r="B98" s="1585">
        <v>45930.0</v>
      </c>
      <c r="C98" s="1647" t="s">
        <v>27</v>
      </c>
      <c r="D98" s="1648" t="s">
        <v>39</v>
      </c>
      <c r="E98" s="376"/>
      <c r="F98" s="377">
        <v>4.0</v>
      </c>
      <c r="G98" s="1649" t="s">
        <v>73</v>
      </c>
      <c r="H98" s="1597" t="s">
        <v>122</v>
      </c>
    </row>
    <row r="99">
      <c r="A99" s="33"/>
      <c r="B99" s="142"/>
      <c r="C99" s="1650" t="s">
        <v>40</v>
      </c>
      <c r="D99" s="1651" t="s">
        <v>82</v>
      </c>
      <c r="E99" s="1652"/>
      <c r="F99" s="1653">
        <v>4.0</v>
      </c>
      <c r="G99" s="1654" t="s">
        <v>73</v>
      </c>
      <c r="H99" s="142"/>
    </row>
    <row r="100">
      <c r="A100" s="33"/>
      <c r="B100" s="142"/>
      <c r="C100" s="1616" t="s">
        <v>31</v>
      </c>
      <c r="D100" s="1467" t="s">
        <v>164</v>
      </c>
      <c r="E100" s="422"/>
      <c r="F100" s="1588">
        <v>4.0</v>
      </c>
      <c r="G100" s="509" t="s">
        <v>73</v>
      </c>
      <c r="H100" s="142"/>
    </row>
    <row r="101">
      <c r="A101" s="56"/>
      <c r="B101" s="182"/>
      <c r="C101" s="1617" t="s">
        <v>38</v>
      </c>
      <c r="D101" s="1618" t="s">
        <v>36</v>
      </c>
      <c r="E101" s="1619"/>
      <c r="F101" s="1604">
        <v>3.0</v>
      </c>
      <c r="G101" s="1605" t="s">
        <v>73</v>
      </c>
      <c r="H101" s="182"/>
    </row>
    <row r="102">
      <c r="A102" s="341" t="s">
        <v>77</v>
      </c>
      <c r="B102" s="1585">
        <v>45932.0</v>
      </c>
      <c r="C102" s="1655" t="s">
        <v>27</v>
      </c>
      <c r="D102" s="500" t="s">
        <v>33</v>
      </c>
      <c r="E102" s="1656"/>
      <c r="F102" s="1657">
        <v>4.0</v>
      </c>
      <c r="G102" s="478" t="s">
        <v>73</v>
      </c>
      <c r="H102" s="1597" t="s">
        <v>122</v>
      </c>
    </row>
    <row r="103">
      <c r="A103" s="33"/>
      <c r="B103" s="142"/>
      <c r="C103" s="1658" t="s">
        <v>40</v>
      </c>
      <c r="D103" s="1520" t="s">
        <v>63</v>
      </c>
      <c r="E103" s="1659"/>
      <c r="F103" s="1645">
        <v>4.0</v>
      </c>
      <c r="G103" s="482" t="s">
        <v>73</v>
      </c>
      <c r="H103" s="142"/>
    </row>
    <row r="104">
      <c r="A104" s="33"/>
      <c r="B104" s="142"/>
      <c r="C104" s="1616" t="s">
        <v>31</v>
      </c>
      <c r="D104" s="1467" t="s">
        <v>164</v>
      </c>
      <c r="E104" s="422"/>
      <c r="F104" s="1588">
        <v>4.0</v>
      </c>
      <c r="G104" s="509" t="s">
        <v>73</v>
      </c>
      <c r="H104" s="142"/>
    </row>
    <row r="105">
      <c r="A105" s="56"/>
      <c r="B105" s="182"/>
      <c r="C105" s="1660" t="s">
        <v>38</v>
      </c>
      <c r="D105" s="456" t="s">
        <v>39</v>
      </c>
      <c r="E105" s="414"/>
      <c r="F105" s="464">
        <v>3.0</v>
      </c>
      <c r="G105" s="415" t="s">
        <v>73</v>
      </c>
      <c r="H105" s="182"/>
    </row>
    <row r="106">
      <c r="A106" s="341" t="s">
        <v>26</v>
      </c>
      <c r="B106" s="1585">
        <v>45933.0</v>
      </c>
      <c r="C106" s="1661" t="s">
        <v>27</v>
      </c>
      <c r="D106" s="1530" t="s">
        <v>164</v>
      </c>
      <c r="E106" s="1662"/>
      <c r="F106" s="1663">
        <v>4.0</v>
      </c>
      <c r="G106" s="1533" t="s">
        <v>73</v>
      </c>
      <c r="H106" s="1597" t="s">
        <v>122</v>
      </c>
    </row>
    <row r="107">
      <c r="A107" s="33"/>
      <c r="B107" s="142"/>
      <c r="C107" s="1650" t="s">
        <v>40</v>
      </c>
      <c r="D107" s="1651" t="s">
        <v>82</v>
      </c>
      <c r="E107" s="1652"/>
      <c r="F107" s="1653">
        <v>4.0</v>
      </c>
      <c r="G107" s="1654" t="s">
        <v>73</v>
      </c>
      <c r="H107" s="142"/>
    </row>
    <row r="108">
      <c r="A108" s="33"/>
      <c r="B108" s="142"/>
      <c r="C108" s="1664" t="s">
        <v>31</v>
      </c>
      <c r="D108" s="1665" t="s">
        <v>127</v>
      </c>
      <c r="E108" s="1037"/>
      <c r="F108" s="1666">
        <v>4.0</v>
      </c>
      <c r="G108" s="1538" t="s">
        <v>73</v>
      </c>
      <c r="H108" s="142"/>
    </row>
    <row r="109">
      <c r="A109" s="56"/>
      <c r="B109" s="182"/>
      <c r="C109" s="1667" t="s">
        <v>38</v>
      </c>
      <c r="D109" s="1668" t="s">
        <v>101</v>
      </c>
      <c r="E109" s="431"/>
      <c r="F109" s="1669">
        <v>3.0</v>
      </c>
      <c r="G109" s="315" t="s">
        <v>73</v>
      </c>
      <c r="H109" s="182"/>
    </row>
    <row r="110">
      <c r="A110" s="341" t="s">
        <v>41</v>
      </c>
      <c r="B110" s="1585">
        <v>45934.0</v>
      </c>
      <c r="C110" s="1612" t="s">
        <v>27</v>
      </c>
      <c r="D110" s="395" t="s">
        <v>28</v>
      </c>
      <c r="E110" s="344" t="s">
        <v>420</v>
      </c>
      <c r="F110" s="346">
        <v>4.0</v>
      </c>
      <c r="G110" s="298" t="s">
        <v>73</v>
      </c>
      <c r="H110" s="1597" t="s">
        <v>403</v>
      </c>
      <c r="R110" s="1670" t="s">
        <v>421</v>
      </c>
    </row>
    <row r="111">
      <c r="A111" s="33"/>
      <c r="B111" s="142"/>
      <c r="C111" s="1671" t="s">
        <v>216</v>
      </c>
      <c r="D111" s="1635" t="s">
        <v>39</v>
      </c>
      <c r="E111" s="402"/>
      <c r="F111" s="1590">
        <v>3.0</v>
      </c>
      <c r="G111" s="312" t="s">
        <v>73</v>
      </c>
      <c r="H111" s="142"/>
    </row>
    <row r="112">
      <c r="A112" s="33"/>
      <c r="B112" s="142"/>
      <c r="C112" s="1616" t="s">
        <v>155</v>
      </c>
      <c r="D112" s="1467" t="s">
        <v>164</v>
      </c>
      <c r="E112" s="422"/>
      <c r="F112" s="1588">
        <v>4.0</v>
      </c>
      <c r="G112" s="509" t="s">
        <v>73</v>
      </c>
      <c r="H112" s="142"/>
    </row>
    <row r="113">
      <c r="A113" s="56"/>
      <c r="B113" s="182"/>
      <c r="C113" s="1672" t="s">
        <v>157</v>
      </c>
      <c r="D113" s="1564" t="s">
        <v>71</v>
      </c>
      <c r="E113" s="1556"/>
      <c r="F113" s="1594">
        <v>4.0</v>
      </c>
      <c r="G113" s="1557" t="s">
        <v>73</v>
      </c>
      <c r="H113" s="182"/>
    </row>
    <row r="114">
      <c r="A114" s="341" t="s">
        <v>45</v>
      </c>
      <c r="B114" s="1585">
        <v>45935.0</v>
      </c>
      <c r="C114" s="1612" t="s">
        <v>27</v>
      </c>
      <c r="D114" s="395" t="s">
        <v>28</v>
      </c>
      <c r="E114" s="1613"/>
      <c r="F114" s="346">
        <v>4.0</v>
      </c>
      <c r="G114" s="298" t="s">
        <v>73</v>
      </c>
      <c r="H114" s="1597" t="s">
        <v>122</v>
      </c>
      <c r="R114" s="1673" t="s">
        <v>422</v>
      </c>
    </row>
    <row r="115">
      <c r="A115" s="33"/>
      <c r="B115" s="142"/>
      <c r="C115" s="1614" t="s">
        <v>40</v>
      </c>
      <c r="D115" s="417" t="s">
        <v>71</v>
      </c>
      <c r="E115" s="1615"/>
      <c r="F115" s="357">
        <v>4.0</v>
      </c>
      <c r="G115" s="409" t="s">
        <v>73</v>
      </c>
      <c r="H115" s="142"/>
    </row>
    <row r="116">
      <c r="A116" s="33"/>
      <c r="B116" s="142"/>
      <c r="C116" s="1674" t="s">
        <v>31</v>
      </c>
      <c r="D116" s="398" t="s">
        <v>43</v>
      </c>
      <c r="E116" s="397" t="s">
        <v>65</v>
      </c>
      <c r="F116" s="1599">
        <v>4.0</v>
      </c>
      <c r="G116" s="305" t="s">
        <v>73</v>
      </c>
      <c r="H116" s="142"/>
    </row>
    <row r="117">
      <c r="A117" s="56"/>
      <c r="B117" s="182"/>
      <c r="C117" s="1667" t="s">
        <v>38</v>
      </c>
      <c r="D117" s="1668" t="s">
        <v>67</v>
      </c>
      <c r="E117" s="431"/>
      <c r="F117" s="1669">
        <v>3.0</v>
      </c>
      <c r="G117" s="315" t="s">
        <v>73</v>
      </c>
      <c r="H117" s="182"/>
    </row>
  </sheetData>
  <mergeCells count="87">
    <mergeCell ref="A51:A54"/>
    <mergeCell ref="B51:B54"/>
    <mergeCell ref="A55:A56"/>
    <mergeCell ref="B55:B56"/>
    <mergeCell ref="A57:A60"/>
    <mergeCell ref="B57:B60"/>
    <mergeCell ref="A61:A64"/>
    <mergeCell ref="A80:A84"/>
    <mergeCell ref="A85:A88"/>
    <mergeCell ref="A94:A97"/>
    <mergeCell ref="A98:A101"/>
    <mergeCell ref="A102:A105"/>
    <mergeCell ref="A106:A109"/>
    <mergeCell ref="A110:A113"/>
    <mergeCell ref="A114:A117"/>
    <mergeCell ref="B85:B88"/>
    <mergeCell ref="A91:B92"/>
    <mergeCell ref="B94:B97"/>
    <mergeCell ref="B98:B101"/>
    <mergeCell ref="B102:B105"/>
    <mergeCell ref="B106:B109"/>
    <mergeCell ref="B110:B113"/>
    <mergeCell ref="B114:B117"/>
    <mergeCell ref="B61:B64"/>
    <mergeCell ref="A67:B68"/>
    <mergeCell ref="A70:A73"/>
    <mergeCell ref="B70:B73"/>
    <mergeCell ref="A74:A79"/>
    <mergeCell ref="B74:B79"/>
    <mergeCell ref="B80:B84"/>
    <mergeCell ref="H38:H41"/>
    <mergeCell ref="H42:H45"/>
    <mergeCell ref="H51:H54"/>
    <mergeCell ref="H55:H56"/>
    <mergeCell ref="H57:H60"/>
    <mergeCell ref="H61:H64"/>
    <mergeCell ref="H70:H73"/>
    <mergeCell ref="H74:H78"/>
    <mergeCell ref="H80:H83"/>
    <mergeCell ref="H85:H88"/>
    <mergeCell ref="H94:H97"/>
    <mergeCell ref="H98:H101"/>
    <mergeCell ref="H102:H105"/>
    <mergeCell ref="H106:H109"/>
    <mergeCell ref="H114:H117"/>
    <mergeCell ref="A1:B2"/>
    <mergeCell ref="A4:A7"/>
    <mergeCell ref="B4:B7"/>
    <mergeCell ref="H4:H7"/>
    <mergeCell ref="N4:N7"/>
    <mergeCell ref="E5:E6"/>
    <mergeCell ref="C8:N8"/>
    <mergeCell ref="A9:A10"/>
    <mergeCell ref="B9:B10"/>
    <mergeCell ref="E9:E10"/>
    <mergeCell ref="C11:N11"/>
    <mergeCell ref="C12:N12"/>
    <mergeCell ref="A13:A16"/>
    <mergeCell ref="B13:B16"/>
    <mergeCell ref="E27:E29"/>
    <mergeCell ref="E30:E32"/>
    <mergeCell ref="E34:E35"/>
    <mergeCell ref="E80:E81"/>
    <mergeCell ref="E85:E86"/>
    <mergeCell ref="A17:A20"/>
    <mergeCell ref="B17:B20"/>
    <mergeCell ref="A23:B24"/>
    <mergeCell ref="A26:A29"/>
    <mergeCell ref="B26:B29"/>
    <mergeCell ref="A30:A33"/>
    <mergeCell ref="B30:B33"/>
    <mergeCell ref="H9:H10"/>
    <mergeCell ref="H13:H16"/>
    <mergeCell ref="H17:H20"/>
    <mergeCell ref="H26:H29"/>
    <mergeCell ref="H30:H33"/>
    <mergeCell ref="H34:H35"/>
    <mergeCell ref="H36:H37"/>
    <mergeCell ref="A34:A37"/>
    <mergeCell ref="B34:B37"/>
    <mergeCell ref="A38:A41"/>
    <mergeCell ref="B38:B41"/>
    <mergeCell ref="A42:A45"/>
    <mergeCell ref="B42:B45"/>
    <mergeCell ref="A48:B49"/>
    <mergeCell ref="H110:H113"/>
    <mergeCell ref="R110:R1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33.25"/>
    <col customWidth="1" min="8" max="8" width="17.88"/>
  </cols>
  <sheetData>
    <row r="1">
      <c r="A1" s="1" t="s">
        <v>397</v>
      </c>
    </row>
    <row r="3">
      <c r="A3" s="8" t="s">
        <v>10</v>
      </c>
      <c r="B3" s="1452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9" t="s">
        <v>16</v>
      </c>
      <c r="H3" s="1452" t="s">
        <v>17</v>
      </c>
    </row>
    <row r="4">
      <c r="A4" s="341" t="s">
        <v>58</v>
      </c>
      <c r="B4" s="1585">
        <v>45937.0</v>
      </c>
      <c r="C4" s="1675" t="s">
        <v>27</v>
      </c>
      <c r="D4" s="395" t="s">
        <v>28</v>
      </c>
      <c r="E4" s="1613"/>
      <c r="F4" s="346">
        <v>4.0</v>
      </c>
      <c r="G4" s="298" t="s">
        <v>73</v>
      </c>
      <c r="H4" s="1597" t="s">
        <v>122</v>
      </c>
    </row>
    <row r="5">
      <c r="A5" s="33"/>
      <c r="B5" s="142"/>
      <c r="C5" s="1616" t="s">
        <v>210</v>
      </c>
      <c r="D5" s="1467" t="s">
        <v>164</v>
      </c>
      <c r="E5" s="1676"/>
      <c r="F5" s="1588">
        <v>4.0</v>
      </c>
      <c r="G5" s="509" t="s">
        <v>73</v>
      </c>
      <c r="H5" s="142"/>
    </row>
    <row r="6">
      <c r="A6" s="33"/>
      <c r="B6" s="142"/>
      <c r="C6" s="1674" t="s">
        <v>155</v>
      </c>
      <c r="D6" s="398" t="s">
        <v>43</v>
      </c>
      <c r="E6" s="418"/>
      <c r="F6" s="1599">
        <v>4.0</v>
      </c>
      <c r="G6" s="305" t="s">
        <v>73</v>
      </c>
      <c r="H6" s="142"/>
    </row>
    <row r="7">
      <c r="A7" s="56"/>
      <c r="B7" s="182"/>
      <c r="C7" s="1672" t="s">
        <v>157</v>
      </c>
      <c r="D7" s="1564" t="s">
        <v>71</v>
      </c>
      <c r="E7" s="1556"/>
      <c r="F7" s="1594">
        <v>4.0</v>
      </c>
      <c r="G7" s="1557" t="s">
        <v>73</v>
      </c>
      <c r="H7" s="182"/>
    </row>
    <row r="8">
      <c r="A8" s="341" t="s">
        <v>62</v>
      </c>
      <c r="B8" s="1585">
        <v>45938.0</v>
      </c>
      <c r="C8" s="1677" t="s">
        <v>151</v>
      </c>
      <c r="D8" s="1678" t="s">
        <v>43</v>
      </c>
      <c r="E8" s="1679" t="s">
        <v>391</v>
      </c>
      <c r="F8" s="1680">
        <v>3.0</v>
      </c>
      <c r="G8" s="1644" t="s">
        <v>73</v>
      </c>
      <c r="H8" s="1492" t="s">
        <v>74</v>
      </c>
    </row>
    <row r="9">
      <c r="A9" s="56"/>
      <c r="B9" s="182"/>
      <c r="C9" s="1496" t="s">
        <v>392</v>
      </c>
      <c r="D9" s="1497" t="s">
        <v>164</v>
      </c>
      <c r="E9" s="1681"/>
      <c r="F9" s="1498">
        <v>3.0</v>
      </c>
      <c r="G9" s="389" t="s">
        <v>73</v>
      </c>
      <c r="H9" s="182"/>
    </row>
    <row r="10">
      <c r="A10" s="341" t="s">
        <v>77</v>
      </c>
      <c r="B10" s="1585">
        <v>45939.0</v>
      </c>
      <c r="C10" s="1612" t="s">
        <v>27</v>
      </c>
      <c r="D10" s="395" t="s">
        <v>28</v>
      </c>
      <c r="E10" s="344" t="s">
        <v>399</v>
      </c>
      <c r="F10" s="346">
        <v>4.0</v>
      </c>
      <c r="G10" s="298" t="s">
        <v>73</v>
      </c>
      <c r="H10" s="1597" t="s">
        <v>141</v>
      </c>
      <c r="I10" s="1682"/>
    </row>
    <row r="11">
      <c r="A11" s="33"/>
      <c r="B11" s="142"/>
      <c r="C11" s="1616" t="s">
        <v>216</v>
      </c>
      <c r="D11" s="1467" t="s">
        <v>164</v>
      </c>
      <c r="E11" s="422"/>
      <c r="F11" s="1588">
        <v>3.0</v>
      </c>
      <c r="G11" s="509" t="s">
        <v>73</v>
      </c>
      <c r="H11" s="142"/>
    </row>
    <row r="12">
      <c r="A12" s="33"/>
      <c r="B12" s="142"/>
      <c r="C12" s="1674" t="s">
        <v>155</v>
      </c>
      <c r="D12" s="398" t="s">
        <v>43</v>
      </c>
      <c r="E12" s="1683" t="s">
        <v>423</v>
      </c>
      <c r="F12" s="1599">
        <v>4.0</v>
      </c>
      <c r="G12" s="305" t="s">
        <v>73</v>
      </c>
      <c r="H12" s="142"/>
    </row>
    <row r="13">
      <c r="A13" s="56"/>
      <c r="B13" s="182"/>
      <c r="C13" s="1672" t="s">
        <v>157</v>
      </c>
      <c r="D13" s="1564" t="s">
        <v>33</v>
      </c>
      <c r="E13" s="80"/>
      <c r="F13" s="1594">
        <v>4.0</v>
      </c>
      <c r="G13" s="1557" t="s">
        <v>73</v>
      </c>
      <c r="H13" s="182"/>
    </row>
    <row r="14">
      <c r="A14" s="341" t="s">
        <v>26</v>
      </c>
      <c r="B14" s="1585">
        <v>45940.0</v>
      </c>
      <c r="C14" s="1684" t="s">
        <v>27</v>
      </c>
      <c r="D14" s="1685" t="s">
        <v>101</v>
      </c>
      <c r="E14" s="1686"/>
      <c r="F14" s="1687">
        <v>4.0</v>
      </c>
      <c r="G14" s="339" t="s">
        <v>73</v>
      </c>
      <c r="H14" s="1597" t="s">
        <v>403</v>
      </c>
    </row>
    <row r="15">
      <c r="A15" s="33"/>
      <c r="B15" s="142"/>
      <c r="C15" s="1616" t="s">
        <v>40</v>
      </c>
      <c r="D15" s="1467" t="s">
        <v>164</v>
      </c>
      <c r="E15" s="422"/>
      <c r="F15" s="1588">
        <v>4.0</v>
      </c>
      <c r="G15" s="509" t="s">
        <v>73</v>
      </c>
      <c r="H15" s="142"/>
    </row>
    <row r="16">
      <c r="A16" s="33"/>
      <c r="B16" s="142"/>
      <c r="C16" s="1674" t="s">
        <v>31</v>
      </c>
      <c r="D16" s="398" t="s">
        <v>43</v>
      </c>
      <c r="E16" s="1688"/>
      <c r="F16" s="1599">
        <v>4.0</v>
      </c>
      <c r="G16" s="305" t="s">
        <v>73</v>
      </c>
      <c r="H16" s="142"/>
    </row>
    <row r="17">
      <c r="A17" s="56"/>
      <c r="B17" s="182"/>
      <c r="C17" s="1689" t="s">
        <v>38</v>
      </c>
      <c r="D17" s="1479" t="s">
        <v>39</v>
      </c>
      <c r="E17" s="1690"/>
      <c r="F17" s="1691">
        <v>3.0</v>
      </c>
      <c r="G17" s="1692" t="s">
        <v>73</v>
      </c>
      <c r="H17" s="182"/>
    </row>
    <row r="18">
      <c r="A18" s="341" t="s">
        <v>424</v>
      </c>
      <c r="B18" s="1693" t="s">
        <v>425</v>
      </c>
      <c r="C18" s="1694" t="s">
        <v>157</v>
      </c>
      <c r="D18" s="1695" t="s">
        <v>33</v>
      </c>
      <c r="E18" s="1695" t="s">
        <v>416</v>
      </c>
      <c r="F18" s="1696">
        <v>4.0</v>
      </c>
      <c r="G18" s="1697" t="s">
        <v>30</v>
      </c>
      <c r="H18" s="1698" t="s">
        <v>426</v>
      </c>
    </row>
    <row r="19">
      <c r="A19" s="33"/>
      <c r="B19" s="142"/>
      <c r="C19" s="1674" t="s">
        <v>427</v>
      </c>
      <c r="D19" s="1699" t="s">
        <v>43</v>
      </c>
      <c r="E19" s="1699"/>
      <c r="F19" s="1700">
        <v>4.0</v>
      </c>
      <c r="G19" s="1701" t="s">
        <v>30</v>
      </c>
      <c r="H19" s="142"/>
    </row>
    <row r="20">
      <c r="A20" s="33"/>
      <c r="B20" s="142"/>
      <c r="C20" s="1671" t="s">
        <v>428</v>
      </c>
      <c r="D20" s="1702" t="s">
        <v>39</v>
      </c>
      <c r="E20" s="1702"/>
      <c r="F20" s="1703">
        <v>3.0</v>
      </c>
      <c r="G20" s="1704" t="s">
        <v>30</v>
      </c>
      <c r="H20" s="142"/>
    </row>
    <row r="21">
      <c r="A21" s="33"/>
      <c r="B21" s="142"/>
      <c r="C21" s="1705" t="s">
        <v>429</v>
      </c>
      <c r="D21" s="1706" t="s">
        <v>127</v>
      </c>
      <c r="E21" s="1706"/>
      <c r="F21" s="1707">
        <v>3.0</v>
      </c>
      <c r="G21" s="1708" t="s">
        <v>30</v>
      </c>
      <c r="H21" s="142"/>
    </row>
    <row r="22">
      <c r="A22" s="33"/>
      <c r="B22" s="142"/>
      <c r="C22" s="1614" t="s">
        <v>430</v>
      </c>
      <c r="D22" s="1709" t="s">
        <v>71</v>
      </c>
      <c r="E22" s="1709" t="s">
        <v>431</v>
      </c>
      <c r="F22" s="1710">
        <v>7.0</v>
      </c>
      <c r="G22" s="1711" t="s">
        <v>30</v>
      </c>
      <c r="H22" s="142"/>
    </row>
    <row r="23">
      <c r="A23" s="56"/>
      <c r="B23" s="182"/>
      <c r="C23" s="1712" t="s">
        <v>432</v>
      </c>
      <c r="D23" s="1713" t="s">
        <v>28</v>
      </c>
      <c r="E23" s="1713" t="s">
        <v>416</v>
      </c>
      <c r="F23" s="1714">
        <v>6.0</v>
      </c>
      <c r="G23" s="1715" t="s">
        <v>30</v>
      </c>
      <c r="H23" s="182"/>
    </row>
    <row r="24">
      <c r="A24" s="341" t="s">
        <v>45</v>
      </c>
      <c r="B24" s="1585">
        <v>45942.0</v>
      </c>
      <c r="C24" s="1716" t="s">
        <v>27</v>
      </c>
      <c r="D24" s="1717" t="s">
        <v>82</v>
      </c>
      <c r="E24" s="1718"/>
      <c r="F24" s="1719">
        <v>4.0</v>
      </c>
      <c r="G24" s="1720" t="s">
        <v>73</v>
      </c>
      <c r="H24" s="1597" t="s">
        <v>122</v>
      </c>
      <c r="I24" s="1721" t="s">
        <v>433</v>
      </c>
    </row>
    <row r="25">
      <c r="A25" s="33"/>
      <c r="B25" s="142"/>
      <c r="C25" s="1616" t="s">
        <v>40</v>
      </c>
      <c r="D25" s="1467" t="s">
        <v>164</v>
      </c>
      <c r="E25" s="422"/>
      <c r="F25" s="1588">
        <v>4.0</v>
      </c>
      <c r="G25" s="509" t="s">
        <v>73</v>
      </c>
      <c r="H25" s="142"/>
    </row>
    <row r="26">
      <c r="A26" s="33"/>
      <c r="B26" s="142"/>
      <c r="C26" s="1674" t="s">
        <v>151</v>
      </c>
      <c r="D26" s="398" t="s">
        <v>43</v>
      </c>
      <c r="E26" s="418"/>
      <c r="F26" s="1599">
        <v>3.0</v>
      </c>
      <c r="G26" s="305" t="s">
        <v>73</v>
      </c>
      <c r="H26" s="142"/>
    </row>
    <row r="27">
      <c r="A27" s="56"/>
      <c r="B27" s="182"/>
      <c r="C27" s="1689" t="s">
        <v>157</v>
      </c>
      <c r="D27" s="1479" t="s">
        <v>39</v>
      </c>
      <c r="E27" s="1690"/>
      <c r="F27" s="1691">
        <v>4.0</v>
      </c>
      <c r="G27" s="1692" t="s">
        <v>73</v>
      </c>
      <c r="H27" s="182"/>
    </row>
    <row r="29">
      <c r="A29" s="1" t="s">
        <v>409</v>
      </c>
    </row>
    <row r="31">
      <c r="A31" s="341" t="s">
        <v>62</v>
      </c>
      <c r="B31" s="1585">
        <v>45945.0</v>
      </c>
      <c r="C31" s="1612" t="s">
        <v>27</v>
      </c>
      <c r="D31" s="395" t="s">
        <v>63</v>
      </c>
      <c r="E31" s="345" t="s">
        <v>434</v>
      </c>
      <c r="F31" s="346">
        <v>4.0</v>
      </c>
      <c r="G31" s="298" t="s">
        <v>73</v>
      </c>
      <c r="H31" s="1597" t="s">
        <v>141</v>
      </c>
    </row>
    <row r="32">
      <c r="A32" s="33"/>
      <c r="B32" s="142"/>
      <c r="C32" s="1616" t="s">
        <v>40</v>
      </c>
      <c r="D32" s="1467" t="s">
        <v>164</v>
      </c>
      <c r="E32" s="356"/>
      <c r="F32" s="1588">
        <v>4.0</v>
      </c>
      <c r="G32" s="509" t="s">
        <v>73</v>
      </c>
      <c r="H32" s="142"/>
      <c r="I32" s="241" t="s">
        <v>435</v>
      </c>
    </row>
    <row r="33">
      <c r="A33" s="33"/>
      <c r="B33" s="142"/>
      <c r="C33" s="1674" t="s">
        <v>31</v>
      </c>
      <c r="D33" s="398" t="s">
        <v>43</v>
      </c>
      <c r="E33" s="1722" t="s">
        <v>436</v>
      </c>
      <c r="F33" s="1599">
        <v>4.0</v>
      </c>
      <c r="G33" s="305" t="s">
        <v>73</v>
      </c>
      <c r="H33" s="142"/>
    </row>
    <row r="34">
      <c r="A34" s="56"/>
      <c r="B34" s="182"/>
      <c r="C34" s="1689" t="s">
        <v>38</v>
      </c>
      <c r="D34" s="1479" t="s">
        <v>39</v>
      </c>
      <c r="E34" s="80"/>
      <c r="F34" s="1691">
        <v>3.0</v>
      </c>
      <c r="G34" s="1692" t="s">
        <v>73</v>
      </c>
      <c r="H34" s="182"/>
    </row>
    <row r="35">
      <c r="A35" s="341" t="s">
        <v>26</v>
      </c>
      <c r="B35" s="1585">
        <v>45947.0</v>
      </c>
      <c r="C35" s="1612" t="s">
        <v>27</v>
      </c>
      <c r="D35" s="395" t="s">
        <v>63</v>
      </c>
      <c r="E35" s="345" t="s">
        <v>437</v>
      </c>
      <c r="F35" s="346">
        <v>4.0</v>
      </c>
      <c r="G35" s="298" t="s">
        <v>73</v>
      </c>
      <c r="H35" s="1597" t="s">
        <v>122</v>
      </c>
    </row>
    <row r="36">
      <c r="A36" s="33"/>
      <c r="B36" s="142"/>
      <c r="C36" s="1671" t="s">
        <v>40</v>
      </c>
      <c r="D36" s="1635" t="s">
        <v>39</v>
      </c>
      <c r="E36" s="356"/>
      <c r="F36" s="1590">
        <v>4.0</v>
      </c>
      <c r="G36" s="312" t="s">
        <v>73</v>
      </c>
      <c r="H36" s="142"/>
      <c r="I36" s="241" t="s">
        <v>438</v>
      </c>
    </row>
    <row r="37">
      <c r="A37" s="33"/>
      <c r="B37" s="142"/>
      <c r="C37" s="1674" t="s">
        <v>151</v>
      </c>
      <c r="D37" s="398" t="s">
        <v>43</v>
      </c>
      <c r="E37" s="418"/>
      <c r="F37" s="1599">
        <v>3.0</v>
      </c>
      <c r="G37" s="305" t="s">
        <v>73</v>
      </c>
      <c r="H37" s="142"/>
    </row>
    <row r="38">
      <c r="A38" s="33"/>
      <c r="B38" s="142"/>
      <c r="C38" s="1723" t="s">
        <v>157</v>
      </c>
      <c r="D38" s="1724" t="s">
        <v>36</v>
      </c>
      <c r="E38" s="1725"/>
      <c r="F38" s="1726">
        <v>4.0</v>
      </c>
      <c r="G38" s="1727" t="s">
        <v>73</v>
      </c>
      <c r="H38" s="182"/>
    </row>
    <row r="39">
      <c r="A39" s="56"/>
      <c r="B39" s="182"/>
      <c r="C39" s="1728" t="s">
        <v>144</v>
      </c>
      <c r="D39" s="1729" t="s">
        <v>71</v>
      </c>
      <c r="E39" s="1730" t="s">
        <v>416</v>
      </c>
      <c r="F39" s="1731">
        <v>4.0</v>
      </c>
      <c r="G39" s="1732" t="s">
        <v>439</v>
      </c>
      <c r="H39" s="1733" t="s">
        <v>417</v>
      </c>
    </row>
    <row r="40">
      <c r="A40" s="341" t="s">
        <v>41</v>
      </c>
      <c r="B40" s="1585">
        <v>45948.0</v>
      </c>
      <c r="C40" s="1647" t="s">
        <v>27</v>
      </c>
      <c r="D40" s="1648" t="s">
        <v>39</v>
      </c>
      <c r="E40" s="376"/>
      <c r="F40" s="377">
        <v>4.0</v>
      </c>
      <c r="G40" s="1649" t="s">
        <v>73</v>
      </c>
      <c r="H40" s="1597" t="s">
        <v>403</v>
      </c>
    </row>
    <row r="41">
      <c r="A41" s="33"/>
      <c r="B41" s="142"/>
      <c r="C41" s="1616" t="s">
        <v>40</v>
      </c>
      <c r="D41" s="1467" t="s">
        <v>164</v>
      </c>
      <c r="E41" s="422"/>
      <c r="F41" s="1588">
        <v>4.0</v>
      </c>
      <c r="G41" s="509" t="s">
        <v>73</v>
      </c>
      <c r="H41" s="142"/>
      <c r="I41" s="241" t="s">
        <v>440</v>
      </c>
    </row>
    <row r="42">
      <c r="A42" s="33"/>
      <c r="B42" s="142"/>
      <c r="C42" s="1650" t="s">
        <v>31</v>
      </c>
      <c r="D42" s="1651" t="s">
        <v>36</v>
      </c>
      <c r="E42" s="1652"/>
      <c r="F42" s="1653">
        <v>4.0</v>
      </c>
      <c r="G42" s="1654" t="s">
        <v>73</v>
      </c>
      <c r="H42" s="142"/>
    </row>
    <row r="43">
      <c r="A43" s="56"/>
      <c r="B43" s="182"/>
      <c r="C43" s="1734" t="s">
        <v>38</v>
      </c>
      <c r="D43" s="1735" t="s">
        <v>120</v>
      </c>
      <c r="E43" s="1074"/>
      <c r="F43" s="1593">
        <v>3.0</v>
      </c>
      <c r="G43" s="1736" t="s">
        <v>73</v>
      </c>
      <c r="H43" s="182"/>
    </row>
    <row r="44">
      <c r="A44" s="341" t="s">
        <v>45</v>
      </c>
      <c r="B44" s="1585">
        <v>45949.0</v>
      </c>
      <c r="C44" s="1737" t="s">
        <v>27</v>
      </c>
      <c r="D44" s="1738" t="s">
        <v>39</v>
      </c>
      <c r="E44" s="376"/>
      <c r="F44" s="1739">
        <v>4.0</v>
      </c>
      <c r="G44" s="1740" t="s">
        <v>73</v>
      </c>
      <c r="H44" s="1597" t="s">
        <v>122</v>
      </c>
      <c r="I44" s="241" t="s">
        <v>441</v>
      </c>
    </row>
    <row r="45">
      <c r="A45" s="33"/>
      <c r="B45" s="142"/>
      <c r="C45" s="1741" t="s">
        <v>216</v>
      </c>
      <c r="D45" s="1742" t="s">
        <v>442</v>
      </c>
      <c r="E45" s="1037"/>
      <c r="F45" s="1743">
        <v>3.0</v>
      </c>
      <c r="G45" s="1744" t="s">
        <v>73</v>
      </c>
      <c r="H45" s="142"/>
    </row>
    <row r="46">
      <c r="A46" s="33"/>
      <c r="B46" s="142"/>
      <c r="C46" s="1745" t="s">
        <v>155</v>
      </c>
      <c r="D46" s="1746" t="s">
        <v>36</v>
      </c>
      <c r="E46" s="1652"/>
      <c r="F46" s="1747">
        <v>4.0</v>
      </c>
      <c r="G46" s="873" t="s">
        <v>73</v>
      </c>
      <c r="H46" s="142"/>
    </row>
    <row r="47">
      <c r="A47" s="56"/>
      <c r="B47" s="182"/>
      <c r="C47" s="1748" t="s">
        <v>157</v>
      </c>
      <c r="D47" s="1749" t="s">
        <v>164</v>
      </c>
      <c r="E47" s="387"/>
      <c r="F47" s="1750">
        <v>4.0</v>
      </c>
      <c r="G47" s="1751" t="s">
        <v>73</v>
      </c>
      <c r="H47" s="182"/>
    </row>
    <row r="50">
      <c r="A50" s="1" t="s">
        <v>412</v>
      </c>
    </row>
    <row r="52">
      <c r="A52" s="8" t="s">
        <v>10</v>
      </c>
      <c r="B52" s="1452" t="s">
        <v>11</v>
      </c>
      <c r="C52" s="9" t="s">
        <v>12</v>
      </c>
      <c r="D52" s="9" t="s">
        <v>13</v>
      </c>
      <c r="E52" s="9" t="s">
        <v>14</v>
      </c>
      <c r="F52" s="10" t="s">
        <v>15</v>
      </c>
      <c r="G52" s="9" t="s">
        <v>16</v>
      </c>
      <c r="H52" s="1452" t="s">
        <v>17</v>
      </c>
    </row>
    <row r="53">
      <c r="A53" s="341" t="s">
        <v>55</v>
      </c>
      <c r="B53" s="1585">
        <v>45950.0</v>
      </c>
      <c r="C53" s="1752" t="s">
        <v>27</v>
      </c>
      <c r="D53" s="1530" t="s">
        <v>164</v>
      </c>
      <c r="E53" s="1662"/>
      <c r="F53" s="1663">
        <v>4.0</v>
      </c>
      <c r="G53" s="1533" t="s">
        <v>73</v>
      </c>
      <c r="H53" s="1597" t="s">
        <v>403</v>
      </c>
      <c r="I53" s="241" t="s">
        <v>443</v>
      </c>
    </row>
    <row r="54">
      <c r="A54" s="33"/>
      <c r="B54" s="142"/>
      <c r="C54" s="1753" t="s">
        <v>176</v>
      </c>
      <c r="D54" s="1754" t="s">
        <v>63</v>
      </c>
      <c r="E54" s="1755"/>
      <c r="F54" s="1756">
        <v>4.0</v>
      </c>
      <c r="G54" s="494" t="s">
        <v>73</v>
      </c>
      <c r="H54" s="142"/>
    </row>
    <row r="55">
      <c r="A55" s="33"/>
      <c r="B55" s="142"/>
      <c r="C55" s="1674" t="s">
        <v>48</v>
      </c>
      <c r="D55" s="398" t="s">
        <v>43</v>
      </c>
      <c r="E55" s="418"/>
      <c r="F55" s="1599">
        <v>4.0</v>
      </c>
      <c r="G55" s="305" t="s">
        <v>73</v>
      </c>
      <c r="H55" s="142"/>
    </row>
    <row r="56">
      <c r="A56" s="56"/>
      <c r="B56" s="182"/>
      <c r="C56" s="1667" t="s">
        <v>38</v>
      </c>
      <c r="D56" s="1668" t="s">
        <v>67</v>
      </c>
      <c r="E56" s="431"/>
      <c r="F56" s="1669">
        <v>3.0</v>
      </c>
      <c r="G56" s="315" t="s">
        <v>73</v>
      </c>
      <c r="H56" s="182"/>
    </row>
    <row r="57">
      <c r="A57" s="341" t="s">
        <v>62</v>
      </c>
      <c r="B57" s="1585">
        <v>45952.0</v>
      </c>
      <c r="C57" s="1491" t="s">
        <v>151</v>
      </c>
      <c r="D57" s="395" t="s">
        <v>63</v>
      </c>
      <c r="E57" s="1757" t="s">
        <v>145</v>
      </c>
      <c r="F57" s="438">
        <v>3.0</v>
      </c>
      <c r="G57" s="298" t="s">
        <v>73</v>
      </c>
      <c r="H57" s="1492" t="s">
        <v>74</v>
      </c>
    </row>
    <row r="58">
      <c r="A58" s="56"/>
      <c r="B58" s="182"/>
      <c r="C58" s="1563" t="s">
        <v>392</v>
      </c>
      <c r="D58" s="1564" t="s">
        <v>33</v>
      </c>
      <c r="E58" s="1758" t="s">
        <v>164</v>
      </c>
      <c r="F58" s="1565">
        <v>3.0</v>
      </c>
      <c r="G58" s="1557" t="s">
        <v>73</v>
      </c>
      <c r="H58" s="182"/>
    </row>
    <row r="59">
      <c r="A59" s="341" t="s">
        <v>77</v>
      </c>
      <c r="B59" s="1585">
        <v>45953.0</v>
      </c>
      <c r="C59" s="1612" t="s">
        <v>27</v>
      </c>
      <c r="D59" s="395" t="s">
        <v>28</v>
      </c>
      <c r="E59" s="1613"/>
      <c r="F59" s="346">
        <v>4.0</v>
      </c>
      <c r="G59" s="298" t="s">
        <v>73</v>
      </c>
      <c r="H59" s="1597" t="s">
        <v>122</v>
      </c>
    </row>
    <row r="60">
      <c r="A60" s="33"/>
      <c r="B60" s="142"/>
      <c r="C60" s="1616" t="s">
        <v>40</v>
      </c>
      <c r="D60" s="1467" t="s">
        <v>164</v>
      </c>
      <c r="E60" s="422"/>
      <c r="F60" s="1588">
        <v>4.0</v>
      </c>
      <c r="G60" s="509" t="s">
        <v>73</v>
      </c>
      <c r="H60" s="142"/>
      <c r="I60" s="241"/>
    </row>
    <row r="61">
      <c r="A61" s="33"/>
      <c r="B61" s="142"/>
      <c r="C61" s="1614" t="s">
        <v>444</v>
      </c>
      <c r="D61" s="417" t="s">
        <v>33</v>
      </c>
      <c r="E61" s="1759"/>
      <c r="F61" s="357">
        <v>4.5</v>
      </c>
      <c r="G61" s="409" t="s">
        <v>73</v>
      </c>
      <c r="H61" s="142"/>
    </row>
    <row r="62">
      <c r="A62" s="56"/>
      <c r="B62" s="182"/>
      <c r="C62" s="1760" t="s">
        <v>445</v>
      </c>
      <c r="D62" s="1497" t="s">
        <v>164</v>
      </c>
      <c r="E62" s="387"/>
      <c r="F62" s="388">
        <v>2.0</v>
      </c>
      <c r="G62" s="389" t="s">
        <v>73</v>
      </c>
      <c r="H62" s="182"/>
    </row>
    <row r="63">
      <c r="A63" s="341" t="s">
        <v>26</v>
      </c>
      <c r="B63" s="1585">
        <v>45954.0</v>
      </c>
      <c r="C63" s="1612" t="s">
        <v>27</v>
      </c>
      <c r="D63" s="395" t="s">
        <v>28</v>
      </c>
      <c r="E63" s="344"/>
      <c r="F63" s="346">
        <v>4.0</v>
      </c>
      <c r="G63" s="298" t="s">
        <v>73</v>
      </c>
      <c r="H63" s="1597" t="s">
        <v>141</v>
      </c>
    </row>
    <row r="64">
      <c r="A64" s="33"/>
      <c r="B64" s="142"/>
      <c r="C64" s="1616" t="s">
        <v>40</v>
      </c>
      <c r="D64" s="1467" t="s">
        <v>164</v>
      </c>
      <c r="E64" s="1761" t="s">
        <v>446</v>
      </c>
      <c r="F64" s="1588">
        <v>4.0</v>
      </c>
      <c r="G64" s="509" t="s">
        <v>73</v>
      </c>
      <c r="H64" s="142"/>
      <c r="I64" s="241" t="s">
        <v>447</v>
      </c>
    </row>
    <row r="65">
      <c r="A65" s="33"/>
      <c r="B65" s="142"/>
      <c r="C65" s="1671" t="s">
        <v>31</v>
      </c>
      <c r="D65" s="1635" t="s">
        <v>92</v>
      </c>
      <c r="E65" s="1546" t="s">
        <v>448</v>
      </c>
      <c r="F65" s="1590">
        <v>4.0</v>
      </c>
      <c r="G65" s="312" t="s">
        <v>73</v>
      </c>
      <c r="H65" s="142"/>
      <c r="I65" s="241"/>
    </row>
    <row r="66">
      <c r="A66" s="56"/>
      <c r="B66" s="182"/>
      <c r="C66" s="1734" t="s">
        <v>38</v>
      </c>
      <c r="D66" s="1735" t="s">
        <v>120</v>
      </c>
      <c r="E66" s="80"/>
      <c r="F66" s="1593">
        <v>3.0</v>
      </c>
      <c r="G66" s="1736" t="s">
        <v>73</v>
      </c>
      <c r="H66" s="182"/>
    </row>
    <row r="67">
      <c r="A67" s="341" t="s">
        <v>41</v>
      </c>
      <c r="B67" s="1585">
        <v>45955.0</v>
      </c>
      <c r="C67" s="1675" t="s">
        <v>27</v>
      </c>
      <c r="D67" s="395" t="s">
        <v>63</v>
      </c>
      <c r="E67" s="1613"/>
      <c r="F67" s="346">
        <v>4.0</v>
      </c>
      <c r="G67" s="298" t="s">
        <v>73</v>
      </c>
      <c r="H67" s="1597" t="s">
        <v>403</v>
      </c>
    </row>
    <row r="68">
      <c r="A68" s="33"/>
      <c r="B68" s="142"/>
      <c r="C68" s="1616" t="s">
        <v>40</v>
      </c>
      <c r="D68" s="1467" t="s">
        <v>164</v>
      </c>
      <c r="E68" s="1676"/>
      <c r="F68" s="1588">
        <v>4.0</v>
      </c>
      <c r="G68" s="509" t="s">
        <v>73</v>
      </c>
      <c r="H68" s="142"/>
      <c r="I68" s="241" t="s">
        <v>449</v>
      </c>
    </row>
    <row r="69">
      <c r="A69" s="33"/>
      <c r="B69" s="142"/>
      <c r="C69" s="1762" t="s">
        <v>31</v>
      </c>
      <c r="D69" s="1763" t="s">
        <v>39</v>
      </c>
      <c r="E69" s="1764"/>
      <c r="F69" s="1765">
        <v>4.0</v>
      </c>
      <c r="G69" s="1766" t="s">
        <v>73</v>
      </c>
      <c r="H69" s="142"/>
    </row>
    <row r="70">
      <c r="A70" s="56"/>
      <c r="B70" s="182"/>
      <c r="C70" s="1723" t="s">
        <v>38</v>
      </c>
      <c r="D70" s="1724" t="s">
        <v>36</v>
      </c>
      <c r="E70" s="1725"/>
      <c r="F70" s="1726">
        <v>3.0</v>
      </c>
      <c r="G70" s="1727" t="s">
        <v>73</v>
      </c>
      <c r="H70" s="182"/>
    </row>
    <row r="71">
      <c r="A71" s="341" t="s">
        <v>45</v>
      </c>
      <c r="B71" s="1585">
        <v>45956.0</v>
      </c>
      <c r="C71" s="1767" t="s">
        <v>190</v>
      </c>
      <c r="D71" s="1685" t="s">
        <v>127</v>
      </c>
      <c r="E71" s="1686"/>
      <c r="F71" s="1687">
        <v>5.0</v>
      </c>
      <c r="G71" s="339" t="s">
        <v>73</v>
      </c>
      <c r="H71" s="1597" t="s">
        <v>122</v>
      </c>
    </row>
    <row r="72">
      <c r="A72" s="33"/>
      <c r="B72" s="142"/>
      <c r="C72" s="1674" t="s">
        <v>75</v>
      </c>
      <c r="D72" s="398" t="s">
        <v>43</v>
      </c>
      <c r="E72" s="418"/>
      <c r="F72" s="1599">
        <v>2.0</v>
      </c>
      <c r="G72" s="305" t="s">
        <v>73</v>
      </c>
      <c r="H72" s="142"/>
      <c r="I72" s="241" t="s">
        <v>450</v>
      </c>
    </row>
    <row r="73">
      <c r="A73" s="33"/>
      <c r="B73" s="142"/>
      <c r="C73" s="1616" t="s">
        <v>155</v>
      </c>
      <c r="D73" s="1467" t="s">
        <v>164</v>
      </c>
      <c r="E73" s="1768"/>
      <c r="F73" s="1588">
        <v>4.0</v>
      </c>
      <c r="G73" s="509" t="s">
        <v>73</v>
      </c>
      <c r="H73" s="142"/>
    </row>
    <row r="74">
      <c r="A74" s="33"/>
      <c r="B74" s="142"/>
      <c r="C74" s="1769" t="s">
        <v>451</v>
      </c>
      <c r="D74" s="1770" t="s">
        <v>24</v>
      </c>
      <c r="E74" s="1771"/>
      <c r="F74" s="1772">
        <v>0.5</v>
      </c>
      <c r="G74" s="1773" t="s">
        <v>73</v>
      </c>
      <c r="H74" s="142"/>
    </row>
    <row r="75">
      <c r="A75" s="56"/>
      <c r="B75" s="182"/>
      <c r="C75" s="1660" t="s">
        <v>452</v>
      </c>
      <c r="D75" s="456" t="s">
        <v>39</v>
      </c>
      <c r="E75" s="414"/>
      <c r="F75" s="464">
        <v>3.5</v>
      </c>
      <c r="G75" s="415" t="s">
        <v>73</v>
      </c>
      <c r="H75" s="182"/>
    </row>
    <row r="77">
      <c r="A77" s="1" t="s">
        <v>419</v>
      </c>
    </row>
    <row r="79">
      <c r="A79" s="341" t="s">
        <v>58</v>
      </c>
      <c r="B79" s="1585">
        <v>45958.0</v>
      </c>
      <c r="C79" s="1774" t="s">
        <v>27</v>
      </c>
      <c r="D79" s="1559" t="s">
        <v>28</v>
      </c>
      <c r="E79" s="1775" t="s">
        <v>164</v>
      </c>
      <c r="F79" s="1776">
        <v>4.0</v>
      </c>
      <c r="G79" s="1777" t="s">
        <v>73</v>
      </c>
      <c r="H79" s="1597" t="s">
        <v>122</v>
      </c>
    </row>
    <row r="80">
      <c r="A80" s="33"/>
      <c r="B80" s="142"/>
      <c r="C80" s="1778" t="s">
        <v>40</v>
      </c>
      <c r="D80" s="1576" t="s">
        <v>39</v>
      </c>
      <c r="E80" s="1779"/>
      <c r="F80" s="1780">
        <v>4.0</v>
      </c>
      <c r="G80" s="1781" t="s">
        <v>73</v>
      </c>
      <c r="H80" s="142"/>
    </row>
    <row r="81">
      <c r="A81" s="33"/>
      <c r="B81" s="142"/>
      <c r="C81" s="1614" t="s">
        <v>31</v>
      </c>
      <c r="D81" s="417" t="s">
        <v>71</v>
      </c>
      <c r="E81" s="1615"/>
      <c r="F81" s="357">
        <v>4.0</v>
      </c>
      <c r="G81" s="409" t="s">
        <v>73</v>
      </c>
      <c r="H81" s="142"/>
    </row>
    <row r="82">
      <c r="A82" s="56"/>
      <c r="B82" s="182"/>
      <c r="C82" s="1734" t="s">
        <v>38</v>
      </c>
      <c r="D82" s="1735" t="s">
        <v>67</v>
      </c>
      <c r="E82" s="1074"/>
      <c r="F82" s="1593">
        <v>3.0</v>
      </c>
      <c r="G82" s="1736" t="s">
        <v>73</v>
      </c>
      <c r="H82" s="182"/>
    </row>
    <row r="83">
      <c r="A83" s="341" t="s">
        <v>62</v>
      </c>
      <c r="B83" s="1585">
        <v>45959.0</v>
      </c>
      <c r="C83" s="1782" t="s">
        <v>453</v>
      </c>
      <c r="D83" s="500" t="s">
        <v>71</v>
      </c>
      <c r="E83" s="1783" t="s">
        <v>391</v>
      </c>
      <c r="F83" s="1784">
        <v>3.0</v>
      </c>
      <c r="G83" s="478" t="s">
        <v>73</v>
      </c>
      <c r="H83" s="1492" t="s">
        <v>74</v>
      </c>
    </row>
    <row r="84">
      <c r="A84" s="56"/>
      <c r="B84" s="182"/>
      <c r="C84" s="1496" t="s">
        <v>392</v>
      </c>
      <c r="D84" s="1497" t="s">
        <v>164</v>
      </c>
      <c r="E84" s="1681" t="s">
        <v>63</v>
      </c>
      <c r="F84" s="1498">
        <v>3.0</v>
      </c>
      <c r="G84" s="389" t="s">
        <v>73</v>
      </c>
      <c r="H84" s="182"/>
    </row>
    <row r="85">
      <c r="A85" s="341" t="s">
        <v>77</v>
      </c>
      <c r="B85" s="1585">
        <v>45960.0</v>
      </c>
      <c r="C85" s="1612" t="s">
        <v>27</v>
      </c>
      <c r="D85" s="395" t="s">
        <v>28</v>
      </c>
      <c r="E85" s="344" t="s">
        <v>164</v>
      </c>
      <c r="F85" s="346">
        <v>4.0</v>
      </c>
      <c r="G85" s="298" t="s">
        <v>73</v>
      </c>
      <c r="H85" s="1597" t="s">
        <v>122</v>
      </c>
    </row>
    <row r="86">
      <c r="A86" s="33"/>
      <c r="B86" s="142"/>
      <c r="C86" s="1674" t="s">
        <v>40</v>
      </c>
      <c r="D86" s="398" t="s">
        <v>43</v>
      </c>
      <c r="E86" s="418"/>
      <c r="F86" s="1599">
        <v>4.0</v>
      </c>
      <c r="G86" s="305" t="s">
        <v>73</v>
      </c>
      <c r="H86" s="142"/>
    </row>
    <row r="87">
      <c r="A87" s="33"/>
      <c r="B87" s="142"/>
      <c r="C87" s="1710" t="s">
        <v>31</v>
      </c>
      <c r="D87" s="417" t="s">
        <v>71</v>
      </c>
      <c r="E87" s="1785"/>
      <c r="F87" s="357">
        <v>4.0</v>
      </c>
      <c r="G87" s="409" t="s">
        <v>73</v>
      </c>
      <c r="H87" s="142"/>
    </row>
    <row r="88">
      <c r="A88" s="56"/>
      <c r="B88" s="182"/>
      <c r="C88" s="1689" t="s">
        <v>38</v>
      </c>
      <c r="D88" s="1479" t="s">
        <v>39</v>
      </c>
      <c r="E88" s="1786"/>
      <c r="F88" s="1691">
        <v>3.0</v>
      </c>
      <c r="G88" s="1692" t="s">
        <v>73</v>
      </c>
      <c r="H88" s="182"/>
    </row>
    <row r="89">
      <c r="A89" s="341" t="s">
        <v>26</v>
      </c>
      <c r="B89" s="1585">
        <v>45961.0</v>
      </c>
      <c r="C89" s="1787" t="s">
        <v>27</v>
      </c>
      <c r="D89" s="1559" t="s">
        <v>63</v>
      </c>
      <c r="E89" s="1788"/>
      <c r="F89" s="1776">
        <v>4.0</v>
      </c>
      <c r="G89" s="1777" t="s">
        <v>73</v>
      </c>
      <c r="H89" s="1597" t="s">
        <v>122</v>
      </c>
    </row>
    <row r="90">
      <c r="A90" s="33"/>
      <c r="B90" s="142"/>
      <c r="C90" s="1616" t="s">
        <v>40</v>
      </c>
      <c r="D90" s="1467" t="s">
        <v>164</v>
      </c>
      <c r="E90" s="422"/>
      <c r="F90" s="1588">
        <v>4.0</v>
      </c>
      <c r="G90" s="509" t="s">
        <v>73</v>
      </c>
      <c r="H90" s="142"/>
    </row>
    <row r="91">
      <c r="A91" s="33"/>
      <c r="B91" s="142"/>
      <c r="C91" s="1614" t="s">
        <v>31</v>
      </c>
      <c r="D91" s="417" t="s">
        <v>71</v>
      </c>
      <c r="E91" s="1759"/>
      <c r="F91" s="357">
        <v>4.0</v>
      </c>
      <c r="G91" s="409" t="s">
        <v>73</v>
      </c>
      <c r="H91" s="142"/>
    </row>
    <row r="92">
      <c r="A92" s="56"/>
      <c r="B92" s="182"/>
      <c r="C92" s="1689" t="s">
        <v>38</v>
      </c>
      <c r="D92" s="1479" t="s">
        <v>39</v>
      </c>
      <c r="E92" s="1690"/>
      <c r="F92" s="1691">
        <v>3.0</v>
      </c>
      <c r="G92" s="1692" t="s">
        <v>73</v>
      </c>
      <c r="H92" s="182"/>
    </row>
    <row r="93">
      <c r="A93" s="341" t="s">
        <v>45</v>
      </c>
      <c r="B93" s="1585">
        <v>45963.0</v>
      </c>
      <c r="C93" s="1612" t="s">
        <v>27</v>
      </c>
      <c r="D93" s="395" t="s">
        <v>28</v>
      </c>
      <c r="E93" s="1789"/>
      <c r="F93" s="346">
        <v>4.0</v>
      </c>
      <c r="G93" s="298" t="s">
        <v>73</v>
      </c>
      <c r="H93" s="1597" t="s">
        <v>122</v>
      </c>
    </row>
    <row r="94">
      <c r="A94" s="33"/>
      <c r="B94" s="142"/>
      <c r="C94" s="1674" t="s">
        <v>40</v>
      </c>
      <c r="D94" s="398" t="s">
        <v>43</v>
      </c>
      <c r="E94" s="418"/>
      <c r="F94" s="1599">
        <v>4.0</v>
      </c>
      <c r="G94" s="305" t="s">
        <v>73</v>
      </c>
      <c r="H94" s="142"/>
      <c r="I94" s="241" t="s">
        <v>435</v>
      </c>
    </row>
    <row r="95">
      <c r="A95" s="33"/>
      <c r="B95" s="142"/>
      <c r="C95" s="1790" t="s">
        <v>31</v>
      </c>
      <c r="D95" s="1576" t="s">
        <v>39</v>
      </c>
      <c r="E95" s="1791"/>
      <c r="F95" s="1780">
        <v>4.0</v>
      </c>
      <c r="G95" s="1781" t="s">
        <v>73</v>
      </c>
      <c r="H95" s="142"/>
    </row>
    <row r="96">
      <c r="A96" s="56"/>
      <c r="B96" s="182"/>
      <c r="C96" s="1734" t="s">
        <v>38</v>
      </c>
      <c r="D96" s="1735" t="s">
        <v>127</v>
      </c>
      <c r="E96" s="1792"/>
      <c r="F96" s="1593">
        <v>3.0</v>
      </c>
      <c r="G96" s="1736" t="s">
        <v>73</v>
      </c>
      <c r="H96" s="182"/>
    </row>
  </sheetData>
  <mergeCells count="73">
    <mergeCell ref="H59:H62"/>
    <mergeCell ref="H63:H66"/>
    <mergeCell ref="H24:H27"/>
    <mergeCell ref="H31:H34"/>
    <mergeCell ref="H35:H38"/>
    <mergeCell ref="H40:H43"/>
    <mergeCell ref="H44:H47"/>
    <mergeCell ref="H53:H56"/>
    <mergeCell ref="H57:H58"/>
    <mergeCell ref="A59:A62"/>
    <mergeCell ref="B59:B62"/>
    <mergeCell ref="A63:A66"/>
    <mergeCell ref="B63:B66"/>
    <mergeCell ref="E65:E66"/>
    <mergeCell ref="A67:A70"/>
    <mergeCell ref="B67:B70"/>
    <mergeCell ref="H67:H70"/>
    <mergeCell ref="A71:A75"/>
    <mergeCell ref="B71:B75"/>
    <mergeCell ref="H71:H75"/>
    <mergeCell ref="A77:B78"/>
    <mergeCell ref="A79:A82"/>
    <mergeCell ref="B79:B82"/>
    <mergeCell ref="H79:H82"/>
    <mergeCell ref="H85:H88"/>
    <mergeCell ref="H89:H92"/>
    <mergeCell ref="A83:A84"/>
    <mergeCell ref="B83:B84"/>
    <mergeCell ref="H83:H84"/>
    <mergeCell ref="A85:A88"/>
    <mergeCell ref="B85:B88"/>
    <mergeCell ref="A89:A92"/>
    <mergeCell ref="B89:B92"/>
    <mergeCell ref="A1:B2"/>
    <mergeCell ref="A4:A7"/>
    <mergeCell ref="B4:B7"/>
    <mergeCell ref="H4:H7"/>
    <mergeCell ref="A8:A9"/>
    <mergeCell ref="B8:B9"/>
    <mergeCell ref="H8:H9"/>
    <mergeCell ref="A10:A13"/>
    <mergeCell ref="B10:B13"/>
    <mergeCell ref="H10:H13"/>
    <mergeCell ref="E12:E13"/>
    <mergeCell ref="A14:A17"/>
    <mergeCell ref="B14:B17"/>
    <mergeCell ref="H14:H17"/>
    <mergeCell ref="E33:E34"/>
    <mergeCell ref="E35:E36"/>
    <mergeCell ref="A18:A23"/>
    <mergeCell ref="B18:B23"/>
    <mergeCell ref="H18:H23"/>
    <mergeCell ref="B24:B27"/>
    <mergeCell ref="I24:I27"/>
    <mergeCell ref="A29:B30"/>
    <mergeCell ref="E31:E32"/>
    <mergeCell ref="A24:A27"/>
    <mergeCell ref="A31:A34"/>
    <mergeCell ref="B31:B34"/>
    <mergeCell ref="A35:A39"/>
    <mergeCell ref="B35:B39"/>
    <mergeCell ref="A40:A43"/>
    <mergeCell ref="B40:B43"/>
    <mergeCell ref="A44:A47"/>
    <mergeCell ref="B44:B47"/>
    <mergeCell ref="A50:B51"/>
    <mergeCell ref="A53:A56"/>
    <mergeCell ref="B53:B56"/>
    <mergeCell ref="A57:A58"/>
    <mergeCell ref="B57:B58"/>
    <mergeCell ref="A93:A96"/>
    <mergeCell ref="B93:B96"/>
    <mergeCell ref="H93:H96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0.0"/>
    <col customWidth="1" min="3" max="3" width="16.75"/>
    <col customWidth="1" min="4" max="4" width="17.5"/>
    <col customWidth="1" min="5" max="5" width="15.13"/>
    <col customWidth="1" min="6" max="6" width="16.13"/>
    <col customWidth="1" min="7" max="7" width="16.5"/>
  </cols>
  <sheetData>
    <row r="1">
      <c r="A1" s="1793" t="s">
        <v>454</v>
      </c>
    </row>
    <row r="2">
      <c r="A2" s="1794" t="s">
        <v>455</v>
      </c>
      <c r="B2" s="1795" t="s">
        <v>4</v>
      </c>
      <c r="C2" s="1795" t="s">
        <v>456</v>
      </c>
      <c r="D2" s="1795" t="s">
        <v>15</v>
      </c>
      <c r="E2" s="1795" t="s">
        <v>457</v>
      </c>
      <c r="F2" s="1795" t="s">
        <v>458</v>
      </c>
      <c r="G2" s="1796" t="s">
        <v>459</v>
      </c>
    </row>
    <row r="3">
      <c r="A3" s="341" t="s">
        <v>158</v>
      </c>
      <c r="B3" s="1797">
        <v>45935.0</v>
      </c>
      <c r="C3" s="1798" t="s">
        <v>48</v>
      </c>
      <c r="D3" s="1798">
        <v>4.0</v>
      </c>
      <c r="E3" s="1799">
        <v>150.0</v>
      </c>
      <c r="F3" s="1800">
        <f t="shared" ref="F3:F33" si="1">D3*E3</f>
        <v>600</v>
      </c>
      <c r="G3" s="1801">
        <f>sum(F3:F14)</f>
        <v>6450</v>
      </c>
    </row>
    <row r="4">
      <c r="A4" s="33"/>
      <c r="B4" s="1802">
        <v>45937.0</v>
      </c>
      <c r="C4" s="1803" t="s">
        <v>291</v>
      </c>
      <c r="D4" s="1803">
        <v>4.0</v>
      </c>
      <c r="E4" s="1804">
        <v>150.0</v>
      </c>
      <c r="F4" s="1805">
        <f t="shared" si="1"/>
        <v>600</v>
      </c>
      <c r="G4" s="51"/>
    </row>
    <row r="5">
      <c r="A5" s="33"/>
      <c r="B5" s="1802">
        <v>45938.0</v>
      </c>
      <c r="C5" s="1803" t="s">
        <v>151</v>
      </c>
      <c r="D5" s="1803">
        <v>3.0</v>
      </c>
      <c r="E5" s="1804">
        <v>150.0</v>
      </c>
      <c r="F5" s="1805">
        <f t="shared" si="1"/>
        <v>450</v>
      </c>
      <c r="G5" s="51"/>
    </row>
    <row r="6">
      <c r="A6" s="33"/>
      <c r="B6" s="1802">
        <v>45939.0</v>
      </c>
      <c r="C6" s="1803" t="s">
        <v>155</v>
      </c>
      <c r="D6" s="1803">
        <v>4.0</v>
      </c>
      <c r="E6" s="1804">
        <v>150.0</v>
      </c>
      <c r="F6" s="1805">
        <f t="shared" si="1"/>
        <v>600</v>
      </c>
      <c r="G6" s="51"/>
    </row>
    <row r="7">
      <c r="A7" s="33"/>
      <c r="B7" s="1802">
        <v>45940.0</v>
      </c>
      <c r="C7" s="1803" t="s">
        <v>48</v>
      </c>
      <c r="D7" s="1803">
        <v>4.0</v>
      </c>
      <c r="E7" s="1804">
        <v>150.0</v>
      </c>
      <c r="F7" s="1805">
        <f t="shared" si="1"/>
        <v>600</v>
      </c>
      <c r="G7" s="51"/>
    </row>
    <row r="8">
      <c r="A8" s="33"/>
      <c r="B8" s="1802">
        <v>45941.0</v>
      </c>
      <c r="C8" s="1803" t="s">
        <v>427</v>
      </c>
      <c r="D8" s="1803">
        <v>4.0</v>
      </c>
      <c r="E8" s="1804">
        <v>150.0</v>
      </c>
      <c r="F8" s="1805">
        <f t="shared" si="1"/>
        <v>600</v>
      </c>
      <c r="G8" s="51"/>
    </row>
    <row r="9">
      <c r="A9" s="33"/>
      <c r="B9" s="1802">
        <v>45942.0</v>
      </c>
      <c r="C9" s="1803" t="s">
        <v>390</v>
      </c>
      <c r="D9" s="1803">
        <v>3.0</v>
      </c>
      <c r="E9" s="1804">
        <v>150.0</v>
      </c>
      <c r="F9" s="1805">
        <f t="shared" si="1"/>
        <v>450</v>
      </c>
      <c r="G9" s="51"/>
    </row>
    <row r="10">
      <c r="A10" s="33"/>
      <c r="B10" s="1802">
        <v>45945.0</v>
      </c>
      <c r="C10" s="1803" t="s">
        <v>48</v>
      </c>
      <c r="D10" s="1803">
        <v>4.0</v>
      </c>
      <c r="E10" s="1804">
        <v>150.0</v>
      </c>
      <c r="F10" s="1805">
        <f t="shared" si="1"/>
        <v>600</v>
      </c>
      <c r="G10" s="51"/>
    </row>
    <row r="11">
      <c r="A11" s="33"/>
      <c r="B11" s="1802">
        <v>45947.0</v>
      </c>
      <c r="C11" s="1803" t="s">
        <v>390</v>
      </c>
      <c r="D11" s="1803">
        <v>3.0</v>
      </c>
      <c r="E11" s="1804">
        <v>150.0</v>
      </c>
      <c r="F11" s="1805">
        <f t="shared" si="1"/>
        <v>450</v>
      </c>
      <c r="G11" s="51"/>
    </row>
    <row r="12">
      <c r="A12" s="33"/>
      <c r="B12" s="1802">
        <v>45950.0</v>
      </c>
      <c r="C12" s="1803" t="s">
        <v>48</v>
      </c>
      <c r="D12" s="1803">
        <v>4.0</v>
      </c>
      <c r="E12" s="1804">
        <v>150.0</v>
      </c>
      <c r="F12" s="1805">
        <f t="shared" si="1"/>
        <v>600</v>
      </c>
      <c r="G12" s="51"/>
    </row>
    <row r="13">
      <c r="A13" s="33"/>
      <c r="B13" s="1802">
        <v>45956.0</v>
      </c>
      <c r="C13" s="1803" t="s">
        <v>356</v>
      </c>
      <c r="D13" s="1803">
        <v>2.0</v>
      </c>
      <c r="E13" s="1804">
        <v>150.0</v>
      </c>
      <c r="F13" s="1805">
        <f t="shared" si="1"/>
        <v>300</v>
      </c>
      <c r="G13" s="51"/>
    </row>
    <row r="14">
      <c r="A14" s="56"/>
      <c r="B14" s="1806">
        <v>45960.0</v>
      </c>
      <c r="C14" s="1807" t="s">
        <v>176</v>
      </c>
      <c r="D14" s="1807">
        <v>4.0</v>
      </c>
      <c r="E14" s="1808">
        <v>150.0</v>
      </c>
      <c r="F14" s="1809">
        <f t="shared" si="1"/>
        <v>600</v>
      </c>
      <c r="G14" s="69"/>
    </row>
    <row r="15">
      <c r="A15" s="341" t="s">
        <v>36</v>
      </c>
      <c r="B15" s="1797">
        <v>45947.0</v>
      </c>
      <c r="C15" s="1798" t="s">
        <v>294</v>
      </c>
      <c r="D15" s="1798">
        <v>4.0</v>
      </c>
      <c r="E15" s="1799">
        <v>150.0</v>
      </c>
      <c r="F15" s="1800">
        <f t="shared" si="1"/>
        <v>600</v>
      </c>
      <c r="G15" s="1801">
        <f>sum(F15:F18)</f>
        <v>2250</v>
      </c>
    </row>
    <row r="16">
      <c r="A16" s="33"/>
      <c r="B16" s="1802">
        <v>45948.0</v>
      </c>
      <c r="C16" s="1803" t="s">
        <v>48</v>
      </c>
      <c r="D16" s="1803">
        <v>4.0</v>
      </c>
      <c r="E16" s="1804">
        <v>150.0</v>
      </c>
      <c r="F16" s="1805">
        <f t="shared" si="1"/>
        <v>600</v>
      </c>
      <c r="G16" s="51"/>
    </row>
    <row r="17">
      <c r="A17" s="33"/>
      <c r="B17" s="1802">
        <v>45949.0</v>
      </c>
      <c r="C17" s="1803" t="s">
        <v>291</v>
      </c>
      <c r="D17" s="1803">
        <v>4.0</v>
      </c>
      <c r="E17" s="1804">
        <v>150.0</v>
      </c>
      <c r="F17" s="1805">
        <f t="shared" si="1"/>
        <v>600</v>
      </c>
      <c r="G17" s="51"/>
    </row>
    <row r="18">
      <c r="A18" s="56"/>
      <c r="B18" s="1810">
        <v>45955.0</v>
      </c>
      <c r="C18" s="1811" t="s">
        <v>38</v>
      </c>
      <c r="D18" s="1811">
        <v>3.0</v>
      </c>
      <c r="E18" s="1812">
        <v>150.0</v>
      </c>
      <c r="F18" s="1813">
        <f t="shared" si="1"/>
        <v>450</v>
      </c>
      <c r="G18" s="69"/>
    </row>
    <row r="19">
      <c r="A19" s="1641" t="s">
        <v>39</v>
      </c>
      <c r="B19" s="1814">
        <v>45932.0</v>
      </c>
      <c r="C19" s="1815" t="s">
        <v>38</v>
      </c>
      <c r="D19" s="1815">
        <v>3.0</v>
      </c>
      <c r="E19" s="1816">
        <v>150.0</v>
      </c>
      <c r="F19" s="1817">
        <f t="shared" si="1"/>
        <v>450</v>
      </c>
      <c r="G19" s="1818">
        <f>sum(F19:F32)</f>
        <v>7425</v>
      </c>
    </row>
    <row r="20">
      <c r="A20" s="33"/>
      <c r="B20" s="1802">
        <v>45934.0</v>
      </c>
      <c r="C20" s="1803" t="s">
        <v>216</v>
      </c>
      <c r="D20" s="1803">
        <v>3.0</v>
      </c>
      <c r="E20" s="1804">
        <v>150.0</v>
      </c>
      <c r="F20" s="1817">
        <f t="shared" si="1"/>
        <v>450</v>
      </c>
      <c r="G20" s="51"/>
    </row>
    <row r="21">
      <c r="A21" s="33"/>
      <c r="B21" s="1802">
        <v>45941.0</v>
      </c>
      <c r="C21" s="1803" t="s">
        <v>428</v>
      </c>
      <c r="D21" s="1803">
        <v>3.0</v>
      </c>
      <c r="E21" s="1804">
        <v>150.0</v>
      </c>
      <c r="F21" s="1817">
        <f t="shared" si="1"/>
        <v>450</v>
      </c>
      <c r="G21" s="51"/>
    </row>
    <row r="22">
      <c r="A22" s="33"/>
      <c r="B22" s="1802">
        <v>45942.0</v>
      </c>
      <c r="C22" s="1803" t="s">
        <v>157</v>
      </c>
      <c r="D22" s="1803">
        <v>4.0</v>
      </c>
      <c r="E22" s="1804">
        <v>150.0</v>
      </c>
      <c r="F22" s="1817">
        <f t="shared" si="1"/>
        <v>600</v>
      </c>
      <c r="G22" s="51"/>
    </row>
    <row r="23">
      <c r="A23" s="33"/>
      <c r="B23" s="1802">
        <v>45945.0</v>
      </c>
      <c r="C23" s="1803" t="s">
        <v>38</v>
      </c>
      <c r="D23" s="1803">
        <v>3.0</v>
      </c>
      <c r="E23" s="1804">
        <v>150.0</v>
      </c>
      <c r="F23" s="1817">
        <f t="shared" si="1"/>
        <v>450</v>
      </c>
      <c r="G23" s="51"/>
    </row>
    <row r="24">
      <c r="A24" s="33"/>
      <c r="B24" s="1802">
        <v>45947.0</v>
      </c>
      <c r="C24" s="1803" t="s">
        <v>40</v>
      </c>
      <c r="D24" s="1803">
        <v>4.0</v>
      </c>
      <c r="E24" s="1804">
        <v>150.0</v>
      </c>
      <c r="F24" s="1817">
        <f t="shared" si="1"/>
        <v>600</v>
      </c>
      <c r="G24" s="51"/>
    </row>
    <row r="25">
      <c r="A25" s="33"/>
      <c r="B25" s="1802">
        <v>45948.0</v>
      </c>
      <c r="C25" s="1803" t="s">
        <v>27</v>
      </c>
      <c r="D25" s="1803">
        <v>4.0</v>
      </c>
      <c r="E25" s="1804">
        <v>150.0</v>
      </c>
      <c r="F25" s="1817">
        <f t="shared" si="1"/>
        <v>600</v>
      </c>
      <c r="G25" s="51"/>
    </row>
    <row r="26">
      <c r="A26" s="33"/>
      <c r="B26" s="1802">
        <v>45949.0</v>
      </c>
      <c r="C26" s="1803" t="s">
        <v>27</v>
      </c>
      <c r="D26" s="1803">
        <v>4.0</v>
      </c>
      <c r="E26" s="1804">
        <v>150.0</v>
      </c>
      <c r="F26" s="1817">
        <f t="shared" si="1"/>
        <v>600</v>
      </c>
      <c r="G26" s="51"/>
    </row>
    <row r="27">
      <c r="A27" s="33"/>
      <c r="B27" s="1802">
        <v>45954.0</v>
      </c>
      <c r="C27" s="1803" t="s">
        <v>48</v>
      </c>
      <c r="D27" s="1803">
        <v>4.0</v>
      </c>
      <c r="E27" s="1804">
        <v>150.0</v>
      </c>
      <c r="F27" s="1817">
        <f t="shared" si="1"/>
        <v>600</v>
      </c>
      <c r="G27" s="51"/>
    </row>
    <row r="28">
      <c r="A28" s="33"/>
      <c r="B28" s="1802">
        <v>45955.0</v>
      </c>
      <c r="C28" s="1803" t="s">
        <v>48</v>
      </c>
      <c r="D28" s="1803">
        <v>4.0</v>
      </c>
      <c r="E28" s="1804">
        <v>150.0</v>
      </c>
      <c r="F28" s="1817">
        <f t="shared" si="1"/>
        <v>600</v>
      </c>
      <c r="G28" s="51"/>
    </row>
    <row r="29">
      <c r="A29" s="33"/>
      <c r="B29" s="1802">
        <v>45956.0</v>
      </c>
      <c r="C29" s="1803" t="s">
        <v>452</v>
      </c>
      <c r="D29" s="1803">
        <v>3.5</v>
      </c>
      <c r="E29" s="1804">
        <v>150.0</v>
      </c>
      <c r="F29" s="1817">
        <f t="shared" si="1"/>
        <v>525</v>
      </c>
      <c r="G29" s="51"/>
    </row>
    <row r="30">
      <c r="A30" s="33"/>
      <c r="B30" s="1819">
        <v>45958.0</v>
      </c>
      <c r="C30" s="1666" t="s">
        <v>176</v>
      </c>
      <c r="D30" s="1666">
        <v>4.0</v>
      </c>
      <c r="E30" s="1804">
        <v>150.0</v>
      </c>
      <c r="F30" s="1817">
        <f t="shared" si="1"/>
        <v>600</v>
      </c>
      <c r="G30" s="51"/>
    </row>
    <row r="31">
      <c r="A31" s="33"/>
      <c r="B31" s="1819">
        <v>45960.0</v>
      </c>
      <c r="C31" s="1666" t="s">
        <v>51</v>
      </c>
      <c r="D31" s="1666">
        <v>3.0</v>
      </c>
      <c r="E31" s="1804">
        <v>150.0</v>
      </c>
      <c r="F31" s="1817">
        <f t="shared" si="1"/>
        <v>450</v>
      </c>
      <c r="G31" s="51"/>
    </row>
    <row r="32">
      <c r="A32" s="56"/>
      <c r="B32" s="1820">
        <v>45961.0</v>
      </c>
      <c r="C32" s="1593" t="s">
        <v>51</v>
      </c>
      <c r="D32" s="1593">
        <v>3.0</v>
      </c>
      <c r="E32" s="1804">
        <v>150.0</v>
      </c>
      <c r="F32" s="1817">
        <f t="shared" si="1"/>
        <v>450</v>
      </c>
      <c r="G32" s="69"/>
    </row>
    <row r="33">
      <c r="A33" s="1821" t="s">
        <v>460</v>
      </c>
      <c r="B33" s="1822">
        <v>45954.0</v>
      </c>
      <c r="C33" s="1823" t="s">
        <v>176</v>
      </c>
      <c r="D33" s="1823">
        <v>4.0</v>
      </c>
      <c r="E33" s="1824">
        <v>120.0</v>
      </c>
      <c r="F33" s="1825">
        <f t="shared" si="1"/>
        <v>480</v>
      </c>
      <c r="G33" s="1826">
        <f>F33</f>
        <v>480</v>
      </c>
    </row>
    <row r="34">
      <c r="A34" s="1827" t="s">
        <v>461</v>
      </c>
      <c r="B34" s="1797">
        <v>45934.0</v>
      </c>
      <c r="C34" s="1798" t="s">
        <v>25</v>
      </c>
      <c r="D34" s="1828">
        <v>3.0</v>
      </c>
      <c r="E34" s="1829"/>
      <c r="F34" s="107"/>
      <c r="G34" s="108"/>
    </row>
    <row r="35">
      <c r="A35" s="33"/>
      <c r="B35" s="1802">
        <v>45935.0</v>
      </c>
      <c r="C35" s="1803" t="s">
        <v>48</v>
      </c>
      <c r="D35" s="1830">
        <v>4.0</v>
      </c>
      <c r="E35" s="255"/>
      <c r="G35" s="98"/>
    </row>
    <row r="36">
      <c r="A36" s="33"/>
      <c r="B36" s="1802">
        <v>45947.0</v>
      </c>
      <c r="C36" s="1803" t="s">
        <v>462</v>
      </c>
      <c r="D36" s="1830">
        <v>4.0</v>
      </c>
      <c r="E36" s="255"/>
      <c r="G36" s="98"/>
    </row>
    <row r="37">
      <c r="A37" s="33"/>
      <c r="B37" s="1806">
        <v>45953.0</v>
      </c>
      <c r="C37" s="1807" t="s">
        <v>463</v>
      </c>
      <c r="D37" s="1831">
        <v>1.0</v>
      </c>
      <c r="E37" s="255"/>
      <c r="G37" s="98"/>
    </row>
    <row r="38">
      <c r="A38" s="56"/>
      <c r="B38" s="1810">
        <v>45956.0</v>
      </c>
      <c r="C38" s="1811" t="s">
        <v>451</v>
      </c>
      <c r="D38" s="1832">
        <v>0.5</v>
      </c>
      <c r="E38" s="256"/>
      <c r="F38" s="109"/>
      <c r="G38" s="110"/>
    </row>
    <row r="39">
      <c r="A39" s="1833" t="s">
        <v>82</v>
      </c>
      <c r="B39" s="1797">
        <v>45933.0</v>
      </c>
      <c r="C39" s="1798" t="s">
        <v>40</v>
      </c>
      <c r="D39" s="1798">
        <v>4.0</v>
      </c>
      <c r="E39" s="1799">
        <v>230.0</v>
      </c>
      <c r="F39" s="1834">
        <f t="shared" ref="F39:F40" si="2">D39*E39</f>
        <v>920</v>
      </c>
      <c r="G39" s="1835">
        <f>F39+F40</f>
        <v>1840</v>
      </c>
    </row>
    <row r="40">
      <c r="A40" s="56"/>
      <c r="B40" s="1810">
        <v>45942.0</v>
      </c>
      <c r="C40" s="1811" t="s">
        <v>27</v>
      </c>
      <c r="D40" s="1811">
        <v>4.0</v>
      </c>
      <c r="E40" s="1812">
        <v>230.0</v>
      </c>
      <c r="F40" s="1836">
        <f t="shared" si="2"/>
        <v>920</v>
      </c>
      <c r="G40" s="182"/>
    </row>
    <row r="41">
      <c r="A41" s="1646"/>
      <c r="B41" s="1515"/>
      <c r="C41" s="1515"/>
      <c r="D41" s="1515"/>
      <c r="E41" s="1646"/>
      <c r="F41" s="1646"/>
      <c r="G41" s="1646"/>
    </row>
    <row r="42">
      <c r="A42" s="1646"/>
      <c r="B42" s="1515"/>
      <c r="C42" s="1515"/>
      <c r="D42" s="1515"/>
      <c r="E42" s="1646"/>
      <c r="F42" s="1646"/>
      <c r="G42" s="1646"/>
    </row>
    <row r="43">
      <c r="A43" s="1837" t="s">
        <v>464</v>
      </c>
      <c r="C43" s="1837" t="s">
        <v>465</v>
      </c>
      <c r="F43" s="1837" t="s">
        <v>466</v>
      </c>
    </row>
    <row r="44">
      <c r="A44" s="1646"/>
    </row>
    <row r="49">
      <c r="B49" s="1838"/>
      <c r="C49" s="1838"/>
      <c r="D49" s="1838"/>
    </row>
    <row r="50">
      <c r="B50" s="1838"/>
      <c r="C50" s="1838"/>
      <c r="D50" s="1838"/>
    </row>
    <row r="51">
      <c r="B51" s="1838"/>
      <c r="C51" s="1838"/>
      <c r="D51" s="1838"/>
    </row>
    <row r="52">
      <c r="B52" s="1838"/>
      <c r="C52" s="1838"/>
      <c r="D52" s="1838"/>
    </row>
    <row r="53">
      <c r="B53" s="1838"/>
      <c r="C53" s="1838"/>
      <c r="D53" s="1838"/>
    </row>
    <row r="54">
      <c r="B54" s="1838"/>
      <c r="C54" s="1838"/>
      <c r="D54" s="1838"/>
    </row>
  </sheetData>
  <mergeCells count="15">
    <mergeCell ref="A34:A38"/>
    <mergeCell ref="E34:G38"/>
    <mergeCell ref="A39:A40"/>
    <mergeCell ref="G39:G40"/>
    <mergeCell ref="A43:B43"/>
    <mergeCell ref="C43:E48"/>
    <mergeCell ref="F43:G48"/>
    <mergeCell ref="A44:B48"/>
    <mergeCell ref="A1:G1"/>
    <mergeCell ref="A3:A14"/>
    <mergeCell ref="G3:G14"/>
    <mergeCell ref="A15:A18"/>
    <mergeCell ref="G15:G18"/>
    <mergeCell ref="A19:A32"/>
    <mergeCell ref="G19:G32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63"/>
    <col customWidth="1" min="8" max="8" width="15.75"/>
  </cols>
  <sheetData>
    <row r="1">
      <c r="A1" s="1" t="s">
        <v>467</v>
      </c>
    </row>
    <row r="3">
      <c r="A3" s="8" t="s">
        <v>10</v>
      </c>
      <c r="B3" s="1452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9" t="s">
        <v>16</v>
      </c>
      <c r="H3" s="1452" t="s">
        <v>17</v>
      </c>
    </row>
    <row r="4">
      <c r="A4" s="341" t="s">
        <v>58</v>
      </c>
      <c r="B4" s="1585">
        <v>45965.0</v>
      </c>
      <c r="C4" s="1675" t="s">
        <v>27</v>
      </c>
      <c r="D4" s="395" t="s">
        <v>28</v>
      </c>
      <c r="E4" s="1613"/>
      <c r="F4" s="346">
        <v>4.0</v>
      </c>
      <c r="G4" s="298" t="s">
        <v>73</v>
      </c>
      <c r="H4" s="1597" t="s">
        <v>122</v>
      </c>
    </row>
    <row r="5">
      <c r="A5" s="33"/>
      <c r="B5" s="142"/>
      <c r="C5" s="1614" t="s">
        <v>176</v>
      </c>
      <c r="D5" s="417" t="s">
        <v>71</v>
      </c>
      <c r="E5" s="1839"/>
      <c r="F5" s="357">
        <v>4.0</v>
      </c>
      <c r="G5" s="409" t="s">
        <v>73</v>
      </c>
      <c r="H5" s="142"/>
      <c r="J5" s="241"/>
    </row>
    <row r="6">
      <c r="A6" s="33"/>
      <c r="B6" s="142"/>
      <c r="C6" s="1671" t="s">
        <v>48</v>
      </c>
      <c r="D6" s="1635" t="s">
        <v>92</v>
      </c>
      <c r="E6" s="402"/>
      <c r="F6" s="1590">
        <v>4.0</v>
      </c>
      <c r="G6" s="312" t="s">
        <v>73</v>
      </c>
      <c r="H6" s="142"/>
    </row>
    <row r="7">
      <c r="A7" s="56"/>
      <c r="B7" s="182"/>
      <c r="C7" s="1667" t="s">
        <v>38</v>
      </c>
      <c r="D7" s="1668" t="s">
        <v>67</v>
      </c>
      <c r="E7" s="431"/>
      <c r="F7" s="1669">
        <v>3.0</v>
      </c>
      <c r="G7" s="315" t="s">
        <v>73</v>
      </c>
      <c r="H7" s="182"/>
    </row>
    <row r="8">
      <c r="A8" s="341" t="s">
        <v>62</v>
      </c>
      <c r="B8" s="1585">
        <v>45966.0</v>
      </c>
      <c r="C8" s="1840" t="s">
        <v>151</v>
      </c>
      <c r="D8" s="1841" t="s">
        <v>63</v>
      </c>
      <c r="E8" s="1842" t="s">
        <v>468</v>
      </c>
      <c r="F8" s="1561">
        <v>3.0</v>
      </c>
      <c r="G8" s="1562" t="s">
        <v>73</v>
      </c>
      <c r="H8" s="1492" t="s">
        <v>74</v>
      </c>
    </row>
    <row r="9">
      <c r="A9" s="56"/>
      <c r="B9" s="182"/>
      <c r="C9" s="1563" t="s">
        <v>392</v>
      </c>
      <c r="D9" s="1564" t="s">
        <v>71</v>
      </c>
      <c r="E9" s="1758"/>
      <c r="F9" s="1565">
        <v>3.0</v>
      </c>
      <c r="G9" s="1557" t="s">
        <v>73</v>
      </c>
      <c r="H9" s="182"/>
    </row>
    <row r="10">
      <c r="A10" s="341" t="s">
        <v>77</v>
      </c>
      <c r="B10" s="1585">
        <v>45967.0</v>
      </c>
      <c r="C10" s="1675" t="s">
        <v>27</v>
      </c>
      <c r="D10" s="395" t="s">
        <v>28</v>
      </c>
      <c r="E10" s="1843" t="s">
        <v>469</v>
      </c>
      <c r="F10" s="346">
        <v>4.0</v>
      </c>
      <c r="G10" s="298" t="s">
        <v>73</v>
      </c>
      <c r="H10" s="1597" t="s">
        <v>122</v>
      </c>
    </row>
    <row r="11">
      <c r="A11" s="33"/>
      <c r="B11" s="142"/>
      <c r="C11" s="1614" t="s">
        <v>176</v>
      </c>
      <c r="D11" s="417" t="s">
        <v>33</v>
      </c>
      <c r="E11" s="356"/>
      <c r="F11" s="357">
        <v>4.0</v>
      </c>
      <c r="G11" s="409" t="s">
        <v>73</v>
      </c>
      <c r="H11" s="142"/>
    </row>
    <row r="12">
      <c r="A12" s="33"/>
      <c r="B12" s="142"/>
      <c r="C12" s="1674" t="s">
        <v>48</v>
      </c>
      <c r="D12" s="398" t="s">
        <v>43</v>
      </c>
      <c r="E12" s="418"/>
      <c r="F12" s="1599">
        <v>4.0</v>
      </c>
      <c r="G12" s="305" t="s">
        <v>73</v>
      </c>
      <c r="H12" s="142"/>
    </row>
    <row r="13">
      <c r="A13" s="56"/>
      <c r="B13" s="182"/>
      <c r="C13" s="1734" t="s">
        <v>38</v>
      </c>
      <c r="D13" s="1735" t="s">
        <v>470</v>
      </c>
      <c r="E13" s="1074"/>
      <c r="F13" s="1593">
        <v>3.0</v>
      </c>
      <c r="G13" s="1736" t="s">
        <v>73</v>
      </c>
      <c r="H13" s="182"/>
    </row>
    <row r="14">
      <c r="A14" s="341" t="s">
        <v>26</v>
      </c>
      <c r="B14" s="1585">
        <v>45968.0</v>
      </c>
      <c r="C14" s="1844" t="s">
        <v>27</v>
      </c>
      <c r="D14" s="1845" t="s">
        <v>471</v>
      </c>
      <c r="E14" s="1846" t="s">
        <v>472</v>
      </c>
      <c r="F14" s="1847">
        <v>4.0</v>
      </c>
      <c r="G14" s="490" t="s">
        <v>73</v>
      </c>
      <c r="H14" s="1597" t="s">
        <v>122</v>
      </c>
      <c r="I14" s="241" t="s">
        <v>473</v>
      </c>
    </row>
    <row r="15">
      <c r="A15" s="33"/>
      <c r="B15" s="142"/>
      <c r="C15" s="1674" t="s">
        <v>176</v>
      </c>
      <c r="D15" s="398" t="s">
        <v>43</v>
      </c>
      <c r="E15" s="356"/>
      <c r="F15" s="1599">
        <v>4.0</v>
      </c>
      <c r="G15" s="305" t="s">
        <v>73</v>
      </c>
      <c r="H15" s="142"/>
    </row>
    <row r="16">
      <c r="A16" s="33"/>
      <c r="B16" s="142"/>
      <c r="C16" s="1664" t="s">
        <v>48</v>
      </c>
      <c r="D16" s="1665" t="s">
        <v>67</v>
      </c>
      <c r="E16" s="1037"/>
      <c r="F16" s="1666">
        <v>4.0</v>
      </c>
      <c r="G16" s="1538" t="s">
        <v>73</v>
      </c>
      <c r="H16" s="142"/>
    </row>
    <row r="17">
      <c r="A17" s="56"/>
      <c r="B17" s="182"/>
      <c r="C17" s="1723" t="s">
        <v>38</v>
      </c>
      <c r="D17" s="1724" t="s">
        <v>36</v>
      </c>
      <c r="E17" s="1725"/>
      <c r="F17" s="1726">
        <v>3.0</v>
      </c>
      <c r="G17" s="1727" t="s">
        <v>73</v>
      </c>
      <c r="H17" s="182"/>
    </row>
    <row r="18">
      <c r="A18" s="341" t="s">
        <v>41</v>
      </c>
      <c r="B18" s="1585">
        <v>45969.0</v>
      </c>
      <c r="C18" s="1675" t="s">
        <v>27</v>
      </c>
      <c r="D18" s="395" t="s">
        <v>28</v>
      </c>
      <c r="E18" s="1789" t="s">
        <v>474</v>
      </c>
      <c r="F18" s="346">
        <v>4.0</v>
      </c>
      <c r="G18" s="1848" t="s">
        <v>30</v>
      </c>
      <c r="H18" s="1597" t="s">
        <v>475</v>
      </c>
    </row>
    <row r="19">
      <c r="A19" s="33"/>
      <c r="B19" s="142"/>
      <c r="C19" s="1674" t="s">
        <v>176</v>
      </c>
      <c r="D19" s="398" t="s">
        <v>43</v>
      </c>
      <c r="E19" s="1849"/>
      <c r="F19" s="1599">
        <v>4.0</v>
      </c>
      <c r="G19" s="1850" t="s">
        <v>30</v>
      </c>
      <c r="H19" s="142"/>
    </row>
    <row r="20">
      <c r="A20" s="33"/>
      <c r="B20" s="142"/>
      <c r="C20" s="1614" t="s">
        <v>48</v>
      </c>
      <c r="D20" s="417" t="s">
        <v>33</v>
      </c>
      <c r="E20" s="1615"/>
      <c r="F20" s="357">
        <v>4.0</v>
      </c>
      <c r="G20" s="1851" t="s">
        <v>30</v>
      </c>
      <c r="H20" s="142"/>
    </row>
    <row r="21">
      <c r="A21" s="56"/>
      <c r="B21" s="182"/>
      <c r="C21" s="1667" t="s">
        <v>38</v>
      </c>
      <c r="D21" s="1668" t="s">
        <v>67</v>
      </c>
      <c r="E21" s="431"/>
      <c r="F21" s="1669">
        <v>3.0</v>
      </c>
      <c r="G21" s="1852" t="s">
        <v>30</v>
      </c>
      <c r="H21" s="182"/>
    </row>
    <row r="22">
      <c r="A22" s="1853" t="s">
        <v>45</v>
      </c>
      <c r="B22" s="1854">
        <v>45970.0</v>
      </c>
      <c r="C22" s="1675" t="s">
        <v>27</v>
      </c>
      <c r="D22" s="395" t="s">
        <v>63</v>
      </c>
      <c r="E22" s="1613"/>
      <c r="F22" s="346">
        <v>4.0</v>
      </c>
      <c r="G22" s="298" t="s">
        <v>73</v>
      </c>
      <c r="H22" s="1597" t="s">
        <v>476</v>
      </c>
    </row>
    <row r="23">
      <c r="A23" s="33"/>
      <c r="B23" s="142"/>
      <c r="C23" s="1650" t="s">
        <v>176</v>
      </c>
      <c r="D23" s="1651" t="s">
        <v>36</v>
      </c>
      <c r="E23" s="1855"/>
      <c r="F23" s="1653">
        <v>4.0</v>
      </c>
      <c r="G23" s="1654" t="s">
        <v>73</v>
      </c>
      <c r="H23" s="142"/>
    </row>
    <row r="24">
      <c r="A24" s="33"/>
      <c r="B24" s="142"/>
      <c r="C24" s="1705" t="s">
        <v>48</v>
      </c>
      <c r="D24" s="1545" t="s">
        <v>120</v>
      </c>
      <c r="E24" s="1856"/>
      <c r="F24" s="1857">
        <v>4.0</v>
      </c>
      <c r="G24" s="1548" t="s">
        <v>73</v>
      </c>
      <c r="H24" s="142"/>
    </row>
    <row r="25">
      <c r="A25" s="33"/>
      <c r="B25" s="142"/>
      <c r="C25" s="1667" t="s">
        <v>38</v>
      </c>
      <c r="D25" s="1668" t="s">
        <v>120</v>
      </c>
      <c r="E25" s="431"/>
      <c r="F25" s="1669">
        <v>3.0</v>
      </c>
      <c r="G25" s="315" t="s">
        <v>73</v>
      </c>
      <c r="H25" s="182"/>
    </row>
    <row r="26">
      <c r="A26" s="56"/>
      <c r="B26" s="182"/>
      <c r="C26" s="1858" t="s">
        <v>477</v>
      </c>
      <c r="D26" s="1859" t="s">
        <v>71</v>
      </c>
      <c r="E26" s="1860"/>
      <c r="F26" s="1861">
        <v>4.0</v>
      </c>
      <c r="G26" s="1862" t="s">
        <v>30</v>
      </c>
      <c r="H26" s="1863" t="s">
        <v>478</v>
      </c>
    </row>
    <row r="28">
      <c r="A28" s="1" t="s">
        <v>397</v>
      </c>
    </row>
    <row r="30">
      <c r="A30" s="8" t="s">
        <v>10</v>
      </c>
      <c r="B30" s="1452" t="s">
        <v>11</v>
      </c>
      <c r="C30" s="9" t="s">
        <v>12</v>
      </c>
      <c r="D30" s="9" t="s">
        <v>13</v>
      </c>
      <c r="E30" s="9" t="s">
        <v>14</v>
      </c>
      <c r="F30" s="10" t="s">
        <v>15</v>
      </c>
      <c r="G30" s="9" t="s">
        <v>16</v>
      </c>
      <c r="H30" s="1452" t="s">
        <v>17</v>
      </c>
    </row>
    <row r="31">
      <c r="A31" s="341" t="s">
        <v>55</v>
      </c>
      <c r="B31" s="1585">
        <v>45971.0</v>
      </c>
      <c r="C31" s="1864" t="s">
        <v>27</v>
      </c>
      <c r="D31" s="1865" t="s">
        <v>127</v>
      </c>
      <c r="E31" s="488"/>
      <c r="F31" s="1847">
        <v>4.0</v>
      </c>
      <c r="G31" s="490" t="s">
        <v>73</v>
      </c>
      <c r="H31" s="1597" t="s">
        <v>141</v>
      </c>
      <c r="I31" s="241" t="s">
        <v>479</v>
      </c>
    </row>
    <row r="32">
      <c r="A32" s="33"/>
      <c r="B32" s="142"/>
      <c r="C32" s="1866" t="s">
        <v>197</v>
      </c>
      <c r="D32" s="1867" t="s">
        <v>67</v>
      </c>
      <c r="E32" s="1868"/>
      <c r="F32" s="1666">
        <v>4.0</v>
      </c>
      <c r="G32" s="1538" t="s">
        <v>73</v>
      </c>
      <c r="H32" s="142"/>
    </row>
    <row r="33">
      <c r="A33" s="33"/>
      <c r="B33" s="142"/>
      <c r="C33" s="1869" t="s">
        <v>266</v>
      </c>
      <c r="D33" s="1870" t="s">
        <v>63</v>
      </c>
      <c r="E33" s="1546" t="s">
        <v>480</v>
      </c>
      <c r="F33" s="1871">
        <v>6.0</v>
      </c>
      <c r="G33" s="1872" t="s">
        <v>73</v>
      </c>
      <c r="H33" s="142"/>
    </row>
    <row r="34">
      <c r="A34" s="56"/>
      <c r="B34" s="182"/>
      <c r="C34" s="56"/>
      <c r="D34" s="1873"/>
      <c r="E34" s="80"/>
      <c r="F34" s="80"/>
      <c r="G34" s="80"/>
      <c r="H34" s="182"/>
    </row>
    <row r="35">
      <c r="A35" s="341" t="s">
        <v>58</v>
      </c>
      <c r="B35" s="1585">
        <v>45972.0</v>
      </c>
      <c r="C35" s="1874" t="s">
        <v>27</v>
      </c>
      <c r="D35" s="1875" t="s">
        <v>28</v>
      </c>
      <c r="E35" s="1876" t="s">
        <v>481</v>
      </c>
      <c r="F35" s="1877">
        <v>4.0</v>
      </c>
      <c r="G35" s="1562" t="s">
        <v>73</v>
      </c>
      <c r="H35" s="1597" t="s">
        <v>403</v>
      </c>
      <c r="I35" s="241" t="s">
        <v>443</v>
      </c>
    </row>
    <row r="36">
      <c r="A36" s="33"/>
      <c r="B36" s="142"/>
      <c r="C36" s="1878" t="s">
        <v>40</v>
      </c>
      <c r="D36" s="1879" t="s">
        <v>101</v>
      </c>
      <c r="E36" s="1880"/>
      <c r="F36" s="1857">
        <v>4.0</v>
      </c>
      <c r="G36" s="1548" t="s">
        <v>73</v>
      </c>
      <c r="H36" s="142"/>
    </row>
    <row r="37">
      <c r="A37" s="33"/>
      <c r="B37" s="142"/>
      <c r="C37" s="1881" t="s">
        <v>31</v>
      </c>
      <c r="D37" s="1882" t="s">
        <v>39</v>
      </c>
      <c r="E37" s="1883"/>
      <c r="F37" s="1780">
        <v>4.0</v>
      </c>
      <c r="G37" s="1781" t="s">
        <v>73</v>
      </c>
      <c r="H37" s="142"/>
    </row>
    <row r="38">
      <c r="A38" s="56"/>
      <c r="B38" s="182"/>
      <c r="C38" s="1884" t="s">
        <v>38</v>
      </c>
      <c r="D38" s="1885" t="s">
        <v>120</v>
      </c>
      <c r="E38" s="431"/>
      <c r="F38" s="1669">
        <v>3.0</v>
      </c>
      <c r="G38" s="315" t="s">
        <v>73</v>
      </c>
      <c r="H38" s="182"/>
    </row>
    <row r="39">
      <c r="A39" s="341" t="s">
        <v>62</v>
      </c>
      <c r="B39" s="1585">
        <v>45973.0</v>
      </c>
      <c r="C39" s="1886" t="s">
        <v>151</v>
      </c>
      <c r="D39" s="1875" t="s">
        <v>63</v>
      </c>
      <c r="E39" s="1842"/>
      <c r="F39" s="1561">
        <v>3.0</v>
      </c>
      <c r="G39" s="1562" t="s">
        <v>73</v>
      </c>
      <c r="H39" s="1492" t="s">
        <v>74</v>
      </c>
      <c r="I39" s="241" t="s">
        <v>393</v>
      </c>
    </row>
    <row r="40">
      <c r="A40" s="56"/>
      <c r="B40" s="182"/>
      <c r="C40" s="1887" t="s">
        <v>392</v>
      </c>
      <c r="D40" s="1888" t="s">
        <v>36</v>
      </c>
      <c r="E40" s="1889"/>
      <c r="F40" s="1890">
        <v>3.0</v>
      </c>
      <c r="G40" s="1727" t="s">
        <v>73</v>
      </c>
      <c r="H40" s="182"/>
    </row>
    <row r="41">
      <c r="A41" s="341" t="s">
        <v>77</v>
      </c>
      <c r="B41" s="1585">
        <v>45974.0</v>
      </c>
      <c r="C41" s="1874" t="s">
        <v>27</v>
      </c>
      <c r="D41" s="1875" t="s">
        <v>63</v>
      </c>
      <c r="E41" s="1876" t="s">
        <v>482</v>
      </c>
      <c r="F41" s="1877">
        <v>4.0</v>
      </c>
      <c r="G41" s="1562" t="s">
        <v>73</v>
      </c>
      <c r="H41" s="1597" t="s">
        <v>122</v>
      </c>
    </row>
    <row r="42">
      <c r="A42" s="33"/>
      <c r="B42" s="142"/>
      <c r="C42" s="1891" t="s">
        <v>176</v>
      </c>
      <c r="D42" s="1892" t="s">
        <v>71</v>
      </c>
      <c r="E42" s="1839" t="s">
        <v>483</v>
      </c>
      <c r="F42" s="357">
        <v>4.0</v>
      </c>
      <c r="G42" s="409" t="s">
        <v>73</v>
      </c>
      <c r="H42" s="142"/>
      <c r="I42" s="241" t="s">
        <v>484</v>
      </c>
    </row>
    <row r="43">
      <c r="A43" s="33"/>
      <c r="B43" s="142"/>
      <c r="C43" s="1881" t="s">
        <v>48</v>
      </c>
      <c r="D43" s="1882" t="s">
        <v>39</v>
      </c>
      <c r="E43" s="1893" t="s">
        <v>485</v>
      </c>
      <c r="F43" s="1780">
        <v>4.0</v>
      </c>
      <c r="G43" s="1781" t="s">
        <v>73</v>
      </c>
      <c r="H43" s="142"/>
    </row>
    <row r="44">
      <c r="A44" s="56"/>
      <c r="B44" s="182"/>
      <c r="C44" s="1894" t="s">
        <v>38</v>
      </c>
      <c r="D44" s="1888" t="s">
        <v>36</v>
      </c>
      <c r="E44" s="1895" t="s">
        <v>486</v>
      </c>
      <c r="F44" s="1726">
        <v>3.0</v>
      </c>
      <c r="G44" s="1727" t="s">
        <v>73</v>
      </c>
      <c r="H44" s="182"/>
    </row>
    <row r="45">
      <c r="A45" s="341" t="s">
        <v>41</v>
      </c>
      <c r="B45" s="1585">
        <v>45976.0</v>
      </c>
      <c r="C45" s="1896" t="s">
        <v>27</v>
      </c>
      <c r="D45" s="1875" t="s">
        <v>28</v>
      </c>
      <c r="E45" s="1897"/>
      <c r="F45" s="1877">
        <v>4.0</v>
      </c>
      <c r="G45" s="1562" t="s">
        <v>73</v>
      </c>
      <c r="H45" s="1597" t="s">
        <v>141</v>
      </c>
      <c r="I45" s="241" t="s">
        <v>487</v>
      </c>
    </row>
    <row r="46">
      <c r="A46" s="33"/>
      <c r="B46" s="142"/>
      <c r="C46" s="1878" t="s">
        <v>40</v>
      </c>
      <c r="D46" s="1867" t="s">
        <v>67</v>
      </c>
      <c r="E46" s="1898"/>
      <c r="F46" s="1666">
        <v>4.0</v>
      </c>
      <c r="G46" s="1538" t="s">
        <v>73</v>
      </c>
      <c r="H46" s="142"/>
    </row>
    <row r="47">
      <c r="A47" s="33"/>
      <c r="B47" s="142"/>
      <c r="C47" s="1899" t="s">
        <v>31</v>
      </c>
      <c r="D47" s="1900" t="s">
        <v>488</v>
      </c>
      <c r="E47" s="1901"/>
      <c r="F47" s="1666">
        <v>4.0</v>
      </c>
      <c r="G47" s="1538" t="s">
        <v>73</v>
      </c>
      <c r="H47" s="142"/>
    </row>
    <row r="48">
      <c r="A48" s="56"/>
      <c r="B48" s="182"/>
      <c r="C48" s="1902" t="s">
        <v>38</v>
      </c>
      <c r="D48" s="1903" t="s">
        <v>39</v>
      </c>
      <c r="E48" s="1904"/>
      <c r="F48" s="1691">
        <v>3.0</v>
      </c>
      <c r="G48" s="1692" t="s">
        <v>73</v>
      </c>
      <c r="H48" s="182"/>
    </row>
    <row r="49">
      <c r="A49" s="341" t="s">
        <v>45</v>
      </c>
      <c r="B49" s="1585">
        <v>45977.0</v>
      </c>
      <c r="C49" s="1874" t="s">
        <v>27</v>
      </c>
      <c r="D49" s="1875" t="s">
        <v>63</v>
      </c>
      <c r="E49" s="1876" t="s">
        <v>489</v>
      </c>
      <c r="F49" s="1877">
        <v>4.0</v>
      </c>
      <c r="G49" s="1562" t="s">
        <v>73</v>
      </c>
      <c r="H49" s="1597" t="s">
        <v>476</v>
      </c>
      <c r="I49" s="241" t="s">
        <v>435</v>
      </c>
    </row>
    <row r="50">
      <c r="A50" s="33"/>
      <c r="B50" s="142"/>
      <c r="C50" s="1905" t="s">
        <v>176</v>
      </c>
      <c r="D50" s="1906" t="s">
        <v>82</v>
      </c>
      <c r="E50" s="1676"/>
      <c r="F50" s="1588">
        <v>4.0</v>
      </c>
      <c r="G50" s="509" t="s">
        <v>73</v>
      </c>
      <c r="H50" s="142"/>
    </row>
    <row r="51">
      <c r="A51" s="33"/>
      <c r="B51" s="142"/>
      <c r="C51" s="1907" t="s">
        <v>151</v>
      </c>
      <c r="D51" s="1908" t="s">
        <v>36</v>
      </c>
      <c r="E51" s="1652"/>
      <c r="F51" s="1653">
        <v>3.0</v>
      </c>
      <c r="G51" s="1654" t="s">
        <v>73</v>
      </c>
      <c r="H51" s="142"/>
    </row>
    <row r="52">
      <c r="A52" s="56"/>
      <c r="B52" s="182"/>
      <c r="C52" s="1884" t="s">
        <v>157</v>
      </c>
      <c r="D52" s="1867" t="s">
        <v>67</v>
      </c>
      <c r="E52" s="431"/>
      <c r="F52" s="1669">
        <v>4.0</v>
      </c>
      <c r="G52" s="315" t="s">
        <v>73</v>
      </c>
      <c r="H52" s="182"/>
    </row>
    <row r="54">
      <c r="A54" s="1" t="s">
        <v>409</v>
      </c>
    </row>
    <row r="56">
      <c r="A56" s="8" t="s">
        <v>10</v>
      </c>
      <c r="B56" s="1452" t="s">
        <v>11</v>
      </c>
      <c r="C56" s="9" t="s">
        <v>12</v>
      </c>
      <c r="D56" s="9" t="s">
        <v>13</v>
      </c>
      <c r="E56" s="9" t="s">
        <v>14</v>
      </c>
      <c r="F56" s="10" t="s">
        <v>15</v>
      </c>
      <c r="G56" s="9" t="s">
        <v>16</v>
      </c>
      <c r="H56" s="1452" t="s">
        <v>17</v>
      </c>
    </row>
    <row r="57">
      <c r="A57" s="341" t="s">
        <v>58</v>
      </c>
      <c r="B57" s="1585">
        <v>45979.0</v>
      </c>
      <c r="C57" s="1874" t="s">
        <v>27</v>
      </c>
      <c r="D57" s="1909" t="s">
        <v>63</v>
      </c>
      <c r="E57" s="1876"/>
      <c r="F57" s="1877">
        <v>4.0</v>
      </c>
      <c r="G57" s="1562" t="s">
        <v>73</v>
      </c>
      <c r="H57" s="1910" t="s">
        <v>122</v>
      </c>
      <c r="I57" s="241" t="s">
        <v>490</v>
      </c>
    </row>
    <row r="58">
      <c r="A58" s="33"/>
      <c r="B58" s="142"/>
      <c r="C58" s="1911" t="s">
        <v>40</v>
      </c>
      <c r="D58" s="1912" t="s">
        <v>43</v>
      </c>
      <c r="E58" s="1849"/>
      <c r="F58" s="1599">
        <v>4.0</v>
      </c>
      <c r="G58" s="305" t="s">
        <v>73</v>
      </c>
      <c r="H58" s="142"/>
    </row>
    <row r="59">
      <c r="A59" s="33"/>
      <c r="B59" s="142"/>
      <c r="C59" s="1881" t="s">
        <v>31</v>
      </c>
      <c r="D59" s="1913" t="s">
        <v>39</v>
      </c>
      <c r="E59" s="1883"/>
      <c r="F59" s="1780">
        <v>4.0</v>
      </c>
      <c r="G59" s="1781" t="s">
        <v>73</v>
      </c>
      <c r="H59" s="142"/>
    </row>
    <row r="60">
      <c r="A60" s="56"/>
      <c r="B60" s="182"/>
      <c r="C60" s="1914" t="s">
        <v>38</v>
      </c>
      <c r="D60" s="1915" t="s">
        <v>127</v>
      </c>
      <c r="E60" s="1074"/>
      <c r="F60" s="1593">
        <v>3.0</v>
      </c>
      <c r="G60" s="1736" t="s">
        <v>73</v>
      </c>
      <c r="H60" s="182"/>
    </row>
    <row r="61">
      <c r="A61" s="341" t="s">
        <v>62</v>
      </c>
      <c r="B61" s="1585">
        <v>45980.0</v>
      </c>
      <c r="C61" s="1916" t="s">
        <v>151</v>
      </c>
      <c r="D61" s="1917" t="s">
        <v>63</v>
      </c>
      <c r="E61" s="1918"/>
      <c r="F61" s="1919">
        <v>3.0</v>
      </c>
      <c r="G61" s="1777" t="s">
        <v>73</v>
      </c>
      <c r="H61" s="1492" t="s">
        <v>74</v>
      </c>
    </row>
    <row r="62">
      <c r="A62" s="56"/>
      <c r="B62" s="182"/>
      <c r="C62" s="1920" t="s">
        <v>392</v>
      </c>
      <c r="D62" s="1921" t="s">
        <v>71</v>
      </c>
      <c r="E62" s="1758" t="s">
        <v>491</v>
      </c>
      <c r="F62" s="1565">
        <v>3.0</v>
      </c>
      <c r="G62" s="1557" t="s">
        <v>73</v>
      </c>
      <c r="H62" s="182"/>
    </row>
    <row r="63">
      <c r="A63" s="341" t="s">
        <v>77</v>
      </c>
      <c r="B63" s="1585">
        <v>45981.0</v>
      </c>
      <c r="C63" s="1866" t="s">
        <v>492</v>
      </c>
      <c r="D63" s="1922" t="s">
        <v>24</v>
      </c>
      <c r="E63" s="1923"/>
      <c r="F63" s="1847">
        <v>2.0</v>
      </c>
      <c r="G63" s="490" t="s">
        <v>73</v>
      </c>
      <c r="H63" s="1597" t="s">
        <v>403</v>
      </c>
    </row>
    <row r="64">
      <c r="A64" s="33"/>
      <c r="B64" s="142"/>
      <c r="C64" s="1924" t="s">
        <v>493</v>
      </c>
      <c r="D64" s="1913" t="s">
        <v>39</v>
      </c>
      <c r="E64" s="1779"/>
      <c r="F64" s="1780">
        <v>6.0</v>
      </c>
      <c r="G64" s="1781" t="s">
        <v>73</v>
      </c>
      <c r="H64" s="142"/>
      <c r="I64" s="241"/>
    </row>
    <row r="65">
      <c r="A65" s="33"/>
      <c r="B65" s="142"/>
      <c r="C65" s="1925" t="s">
        <v>48</v>
      </c>
      <c r="D65" s="1917" t="s">
        <v>63</v>
      </c>
      <c r="E65" s="1926" t="s">
        <v>494</v>
      </c>
      <c r="F65" s="1756">
        <v>4.0</v>
      </c>
      <c r="G65" s="494" t="s">
        <v>73</v>
      </c>
      <c r="H65" s="142"/>
    </row>
    <row r="66">
      <c r="A66" s="56"/>
      <c r="B66" s="182"/>
      <c r="C66" s="1927" t="s">
        <v>495</v>
      </c>
      <c r="D66" s="1921"/>
      <c r="E66" s="1928"/>
      <c r="F66" s="1594">
        <v>1.0</v>
      </c>
      <c r="G66" s="1557" t="s">
        <v>73</v>
      </c>
      <c r="H66" s="182"/>
      <c r="I66" s="241" t="s">
        <v>496</v>
      </c>
    </row>
    <row r="67">
      <c r="A67" s="1488" t="s">
        <v>26</v>
      </c>
      <c r="B67" s="1929">
        <v>45982.0</v>
      </c>
      <c r="C67" s="1930" t="s">
        <v>477</v>
      </c>
      <c r="D67" s="1931" t="s">
        <v>63</v>
      </c>
      <c r="E67" s="1932"/>
      <c r="F67" s="1933">
        <v>4.0</v>
      </c>
      <c r="G67" s="1934" t="s">
        <v>30</v>
      </c>
      <c r="H67" s="1935" t="s">
        <v>478</v>
      </c>
    </row>
    <row r="68">
      <c r="A68" s="341" t="s">
        <v>41</v>
      </c>
      <c r="B68" s="1585">
        <v>45983.0</v>
      </c>
      <c r="C68" s="1936" t="s">
        <v>27</v>
      </c>
      <c r="D68" s="1917" t="s">
        <v>63</v>
      </c>
      <c r="E68" s="1775"/>
      <c r="F68" s="1776">
        <v>4.0</v>
      </c>
      <c r="G68" s="1937" t="s">
        <v>30</v>
      </c>
      <c r="H68" s="1597" t="s">
        <v>475</v>
      </c>
    </row>
    <row r="69">
      <c r="A69" s="33"/>
      <c r="B69" s="142"/>
      <c r="C69" s="1891" t="s">
        <v>40</v>
      </c>
      <c r="D69" s="1938" t="s">
        <v>71</v>
      </c>
      <c r="E69" s="1939"/>
      <c r="F69" s="357">
        <v>4.0</v>
      </c>
      <c r="G69" s="1851" t="s">
        <v>30</v>
      </c>
      <c r="H69" s="142"/>
    </row>
    <row r="70">
      <c r="A70" s="33"/>
      <c r="B70" s="142"/>
      <c r="C70" s="1940" t="s">
        <v>151</v>
      </c>
      <c r="D70" s="1941" t="s">
        <v>43</v>
      </c>
      <c r="E70" s="1942"/>
      <c r="F70" s="1599">
        <v>3.0</v>
      </c>
      <c r="G70" s="1850" t="s">
        <v>30</v>
      </c>
      <c r="H70" s="142"/>
    </row>
    <row r="71">
      <c r="A71" s="56"/>
      <c r="B71" s="182"/>
      <c r="C71" s="1943" t="s">
        <v>157</v>
      </c>
      <c r="D71" s="1944" t="s">
        <v>39</v>
      </c>
      <c r="E71" s="1904"/>
      <c r="F71" s="1691">
        <v>4.0</v>
      </c>
      <c r="G71" s="1945" t="s">
        <v>30</v>
      </c>
      <c r="H71" s="182"/>
    </row>
    <row r="72">
      <c r="A72" s="341" t="s">
        <v>45</v>
      </c>
      <c r="B72" s="1585">
        <v>45984.0</v>
      </c>
      <c r="C72" s="1946" t="s">
        <v>27</v>
      </c>
      <c r="D72" s="1947" t="s">
        <v>71</v>
      </c>
      <c r="E72" s="1948"/>
      <c r="F72" s="1657">
        <v>4.0</v>
      </c>
      <c r="G72" s="478" t="s">
        <v>73</v>
      </c>
      <c r="H72" s="1597" t="s">
        <v>476</v>
      </c>
      <c r="I72" s="241" t="s">
        <v>497</v>
      </c>
    </row>
    <row r="73">
      <c r="A73" s="33"/>
      <c r="B73" s="142"/>
      <c r="C73" s="1911" t="s">
        <v>176</v>
      </c>
      <c r="D73" s="1949" t="s">
        <v>43</v>
      </c>
      <c r="E73" s="1849" t="s">
        <v>498</v>
      </c>
      <c r="F73" s="1599">
        <v>4.0</v>
      </c>
      <c r="G73" s="305" t="s">
        <v>73</v>
      </c>
      <c r="H73" s="142"/>
    </row>
    <row r="74">
      <c r="A74" s="33"/>
      <c r="B74" s="142"/>
      <c r="C74" s="1905" t="s">
        <v>151</v>
      </c>
      <c r="D74" s="1950" t="s">
        <v>82</v>
      </c>
      <c r="E74" s="422"/>
      <c r="F74" s="1588">
        <v>3.0</v>
      </c>
      <c r="G74" s="509" t="s">
        <v>73</v>
      </c>
      <c r="H74" s="142"/>
    </row>
    <row r="75">
      <c r="A75" s="56"/>
      <c r="B75" s="182"/>
      <c r="C75" s="1902" t="s">
        <v>157</v>
      </c>
      <c r="D75" s="1951" t="s">
        <v>39</v>
      </c>
      <c r="E75" s="1690"/>
      <c r="F75" s="1691">
        <v>4.0</v>
      </c>
      <c r="G75" s="1692" t="s">
        <v>73</v>
      </c>
      <c r="H75" s="182"/>
    </row>
    <row r="77">
      <c r="A77" s="1" t="s">
        <v>412</v>
      </c>
    </row>
    <row r="79">
      <c r="A79" s="8" t="s">
        <v>10</v>
      </c>
      <c r="B79" s="1452" t="s">
        <v>11</v>
      </c>
      <c r="C79" s="9" t="s">
        <v>12</v>
      </c>
      <c r="D79" s="9" t="s">
        <v>13</v>
      </c>
      <c r="E79" s="9" t="s">
        <v>14</v>
      </c>
      <c r="F79" s="10" t="s">
        <v>15</v>
      </c>
      <c r="G79" s="9" t="s">
        <v>16</v>
      </c>
      <c r="H79" s="1452" t="s">
        <v>17</v>
      </c>
    </row>
    <row r="80">
      <c r="A80" s="1853" t="s">
        <v>55</v>
      </c>
      <c r="B80" s="1854">
        <v>45985.0</v>
      </c>
      <c r="C80" s="1844" t="s">
        <v>27</v>
      </c>
      <c r="D80" s="1845" t="s">
        <v>499</v>
      </c>
      <c r="E80" s="1035"/>
      <c r="F80" s="1847">
        <v>4.0</v>
      </c>
      <c r="G80" s="490" t="s">
        <v>73</v>
      </c>
      <c r="H80" s="1597" t="s">
        <v>122</v>
      </c>
    </row>
    <row r="81">
      <c r="A81" s="33"/>
      <c r="B81" s="142"/>
      <c r="C81" s="1952" t="s">
        <v>176</v>
      </c>
      <c r="D81" s="1953" t="s">
        <v>500</v>
      </c>
      <c r="E81" s="1954"/>
      <c r="F81" s="1955">
        <v>4.0</v>
      </c>
      <c r="G81" s="1956" t="s">
        <v>73</v>
      </c>
      <c r="H81" s="142"/>
      <c r="I81" s="241" t="s">
        <v>501</v>
      </c>
    </row>
    <row r="82">
      <c r="A82" s="33"/>
      <c r="B82" s="142"/>
      <c r="C82" s="1957" t="s">
        <v>151</v>
      </c>
      <c r="D82" s="1958" t="s">
        <v>43</v>
      </c>
      <c r="E82" s="1522"/>
      <c r="F82" s="1959">
        <v>3.0</v>
      </c>
      <c r="G82" s="1523" t="s">
        <v>73</v>
      </c>
      <c r="H82" s="142"/>
    </row>
    <row r="83">
      <c r="A83" s="33"/>
      <c r="B83" s="142"/>
      <c r="C83" s="1960" t="s">
        <v>157</v>
      </c>
      <c r="D83" s="1961" t="s">
        <v>39</v>
      </c>
      <c r="E83" s="1962"/>
      <c r="F83" s="1963">
        <v>4.0</v>
      </c>
      <c r="G83" s="1964" t="s">
        <v>73</v>
      </c>
      <c r="H83" s="182"/>
    </row>
    <row r="84">
      <c r="A84" s="56"/>
      <c r="B84" s="182"/>
      <c r="C84" s="1965" t="s">
        <v>477</v>
      </c>
      <c r="D84" s="1966" t="s">
        <v>63</v>
      </c>
      <c r="E84" s="1967"/>
      <c r="F84" s="1968">
        <v>4.0</v>
      </c>
      <c r="G84" s="1969" t="s">
        <v>439</v>
      </c>
      <c r="H84" s="1863" t="s">
        <v>478</v>
      </c>
    </row>
    <row r="85">
      <c r="A85" s="1853" t="s">
        <v>58</v>
      </c>
      <c r="B85" s="1854">
        <v>45986.0</v>
      </c>
      <c r="C85" s="1970" t="s">
        <v>27</v>
      </c>
      <c r="D85" s="1971" t="s">
        <v>43</v>
      </c>
      <c r="E85" s="1972"/>
      <c r="F85" s="1973">
        <v>4.0</v>
      </c>
      <c r="G85" s="1974" t="s">
        <v>73</v>
      </c>
      <c r="H85" s="1597" t="s">
        <v>403</v>
      </c>
      <c r="I85" s="241"/>
    </row>
    <row r="86">
      <c r="A86" s="33"/>
      <c r="B86" s="142"/>
      <c r="C86" s="1664" t="s">
        <v>176</v>
      </c>
      <c r="D86" s="1665" t="s">
        <v>67</v>
      </c>
      <c r="E86" s="1975"/>
      <c r="F86" s="1666">
        <v>4.0</v>
      </c>
      <c r="G86" s="1538" t="s">
        <v>73</v>
      </c>
      <c r="H86" s="142"/>
      <c r="I86" s="241" t="s">
        <v>487</v>
      </c>
    </row>
    <row r="87">
      <c r="A87" s="33"/>
      <c r="B87" s="142"/>
      <c r="C87" s="1976" t="s">
        <v>48</v>
      </c>
      <c r="D87" s="1977" t="s">
        <v>39</v>
      </c>
      <c r="E87" s="1978"/>
      <c r="F87" s="1979">
        <v>4.0</v>
      </c>
      <c r="G87" s="1980" t="s">
        <v>73</v>
      </c>
      <c r="H87" s="142"/>
    </row>
    <row r="88">
      <c r="A88" s="33"/>
      <c r="B88" s="142"/>
      <c r="C88" s="1981" t="s">
        <v>38</v>
      </c>
      <c r="D88" s="1982" t="s">
        <v>36</v>
      </c>
      <c r="E88" s="1983"/>
      <c r="F88" s="1984">
        <v>3.0</v>
      </c>
      <c r="G88" s="1985" t="s">
        <v>73</v>
      </c>
      <c r="H88" s="182"/>
    </row>
    <row r="89">
      <c r="A89" s="56"/>
      <c r="B89" s="182"/>
      <c r="C89" s="1965" t="s">
        <v>477</v>
      </c>
      <c r="D89" s="1966" t="s">
        <v>63</v>
      </c>
      <c r="E89" s="1967"/>
      <c r="F89" s="1968">
        <v>4.0</v>
      </c>
      <c r="G89" s="1969" t="s">
        <v>439</v>
      </c>
      <c r="H89" s="1863" t="s">
        <v>478</v>
      </c>
      <c r="I89" s="241"/>
    </row>
    <row r="90">
      <c r="A90" s="341" t="s">
        <v>62</v>
      </c>
      <c r="B90" s="1585">
        <v>45987.0</v>
      </c>
      <c r="C90" s="1916" t="s">
        <v>151</v>
      </c>
      <c r="D90" s="1917" t="s">
        <v>63</v>
      </c>
      <c r="E90" s="1918"/>
      <c r="F90" s="1919">
        <v>3.0</v>
      </c>
      <c r="G90" s="1777" t="s">
        <v>73</v>
      </c>
      <c r="H90" s="1492" t="s">
        <v>74</v>
      </c>
      <c r="I90" s="241" t="s">
        <v>502</v>
      </c>
    </row>
    <row r="91">
      <c r="A91" s="56"/>
      <c r="B91" s="182"/>
      <c r="C91" s="1986" t="s">
        <v>392</v>
      </c>
      <c r="D91" s="1987" t="s">
        <v>503</v>
      </c>
      <c r="E91" s="1988"/>
      <c r="F91" s="1989">
        <v>3.0</v>
      </c>
      <c r="G91" s="1528" t="s">
        <v>73</v>
      </c>
      <c r="H91" s="182"/>
    </row>
    <row r="92">
      <c r="A92" s="341" t="s">
        <v>45</v>
      </c>
      <c r="B92" s="1585">
        <v>45991.0</v>
      </c>
      <c r="C92" s="1990" t="s">
        <v>27</v>
      </c>
      <c r="D92" s="1991" t="s">
        <v>43</v>
      </c>
      <c r="E92" s="1992"/>
      <c r="F92" s="1973">
        <v>4.0</v>
      </c>
      <c r="G92" s="1974" t="s">
        <v>73</v>
      </c>
      <c r="H92" s="1597" t="s">
        <v>476</v>
      </c>
      <c r="I92" s="241" t="s">
        <v>504</v>
      </c>
    </row>
    <row r="93">
      <c r="A93" s="33"/>
      <c r="B93" s="142"/>
      <c r="C93" s="1993" t="s">
        <v>176</v>
      </c>
      <c r="D93" s="1994" t="s">
        <v>39</v>
      </c>
      <c r="E93" s="1995"/>
      <c r="F93" s="1979">
        <v>4.0</v>
      </c>
      <c r="G93" s="1980" t="s">
        <v>73</v>
      </c>
      <c r="H93" s="142"/>
      <c r="I93" s="241" t="s">
        <v>505</v>
      </c>
    </row>
    <row r="94">
      <c r="A94" s="33"/>
      <c r="B94" s="142"/>
      <c r="C94" s="1996" t="s">
        <v>151</v>
      </c>
      <c r="D94" s="1997" t="s">
        <v>36</v>
      </c>
      <c r="E94" s="1998"/>
      <c r="F94" s="1999">
        <v>3.0</v>
      </c>
      <c r="G94" s="2000" t="s">
        <v>73</v>
      </c>
      <c r="H94" s="142"/>
    </row>
    <row r="95">
      <c r="A95" s="56"/>
      <c r="B95" s="182"/>
      <c r="C95" s="2001" t="s">
        <v>157</v>
      </c>
      <c r="D95" s="1987" t="s">
        <v>503</v>
      </c>
      <c r="E95" s="1526"/>
      <c r="F95" s="2002">
        <v>4.0</v>
      </c>
      <c r="G95" s="1528" t="s">
        <v>73</v>
      </c>
      <c r="H95" s="182"/>
    </row>
  </sheetData>
  <mergeCells count="74">
    <mergeCell ref="H49:H52"/>
    <mergeCell ref="H57:H60"/>
    <mergeCell ref="H18:H21"/>
    <mergeCell ref="H22:H25"/>
    <mergeCell ref="H31:H34"/>
    <mergeCell ref="H35:H38"/>
    <mergeCell ref="H39:H40"/>
    <mergeCell ref="H41:H44"/>
    <mergeCell ref="H45:H48"/>
    <mergeCell ref="B49:B52"/>
    <mergeCell ref="A54:B55"/>
    <mergeCell ref="B57:B60"/>
    <mergeCell ref="B61:B62"/>
    <mergeCell ref="H61:H62"/>
    <mergeCell ref="H63:H66"/>
    <mergeCell ref="H68:H71"/>
    <mergeCell ref="H72:H75"/>
    <mergeCell ref="A45:A48"/>
    <mergeCell ref="A49:A52"/>
    <mergeCell ref="A57:A60"/>
    <mergeCell ref="A61:A62"/>
    <mergeCell ref="A63:A66"/>
    <mergeCell ref="B63:B66"/>
    <mergeCell ref="B68:B71"/>
    <mergeCell ref="A1:B2"/>
    <mergeCell ref="A4:A7"/>
    <mergeCell ref="B4:B7"/>
    <mergeCell ref="H4:H7"/>
    <mergeCell ref="A8:A9"/>
    <mergeCell ref="B8:B9"/>
    <mergeCell ref="H8:H9"/>
    <mergeCell ref="A10:A13"/>
    <mergeCell ref="B10:B13"/>
    <mergeCell ref="E10:E11"/>
    <mergeCell ref="H10:H13"/>
    <mergeCell ref="B14:B17"/>
    <mergeCell ref="E14:E15"/>
    <mergeCell ref="H14:H17"/>
    <mergeCell ref="B31:B34"/>
    <mergeCell ref="C33:C34"/>
    <mergeCell ref="D33:D34"/>
    <mergeCell ref="E33:E34"/>
    <mergeCell ref="F33:F34"/>
    <mergeCell ref="G33:G34"/>
    <mergeCell ref="A14:A17"/>
    <mergeCell ref="A18:A21"/>
    <mergeCell ref="B18:B21"/>
    <mergeCell ref="A22:A26"/>
    <mergeCell ref="B22:B26"/>
    <mergeCell ref="A28:B29"/>
    <mergeCell ref="A31:A34"/>
    <mergeCell ref="A35:A38"/>
    <mergeCell ref="B35:B38"/>
    <mergeCell ref="A39:A40"/>
    <mergeCell ref="B39:B40"/>
    <mergeCell ref="A41:A44"/>
    <mergeCell ref="B41:B44"/>
    <mergeCell ref="B45:B48"/>
    <mergeCell ref="B72:B75"/>
    <mergeCell ref="A77:B78"/>
    <mergeCell ref="B80:B84"/>
    <mergeCell ref="H80:H83"/>
    <mergeCell ref="H85:H88"/>
    <mergeCell ref="H90:H91"/>
    <mergeCell ref="A92:A95"/>
    <mergeCell ref="B92:B95"/>
    <mergeCell ref="H92:H95"/>
    <mergeCell ref="A68:A71"/>
    <mergeCell ref="A72:A75"/>
    <mergeCell ref="A80:A84"/>
    <mergeCell ref="A85:A89"/>
    <mergeCell ref="B85:B89"/>
    <mergeCell ref="A90:A91"/>
    <mergeCell ref="B90:B9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0"/>
    <col customWidth="1" min="3" max="3" width="16.75"/>
    <col customWidth="1" min="4" max="4" width="17.5"/>
    <col customWidth="1" min="5" max="5" width="15.13"/>
    <col customWidth="1" min="6" max="6" width="16.13"/>
    <col customWidth="1" min="7" max="7" width="16.5"/>
  </cols>
  <sheetData>
    <row r="1">
      <c r="A1" s="1793" t="s">
        <v>506</v>
      </c>
    </row>
    <row r="2">
      <c r="A2" s="1794" t="s">
        <v>455</v>
      </c>
      <c r="B2" s="1795" t="s">
        <v>4</v>
      </c>
      <c r="C2" s="1795" t="s">
        <v>456</v>
      </c>
      <c r="D2" s="1795" t="s">
        <v>15</v>
      </c>
      <c r="E2" s="1795" t="s">
        <v>457</v>
      </c>
      <c r="F2" s="1795" t="s">
        <v>458</v>
      </c>
      <c r="G2" s="1796" t="s">
        <v>459</v>
      </c>
    </row>
    <row r="3">
      <c r="A3" s="2003" t="s">
        <v>158</v>
      </c>
      <c r="B3" s="1797">
        <v>45963.0</v>
      </c>
      <c r="C3" s="1798" t="s">
        <v>40</v>
      </c>
      <c r="D3" s="1798">
        <v>4.0</v>
      </c>
      <c r="E3" s="1799">
        <v>150.0</v>
      </c>
      <c r="F3" s="1800">
        <f t="shared" ref="F3:F35" si="1">D3*E3</f>
        <v>600</v>
      </c>
      <c r="G3" s="2004">
        <f>sum(F3:F12)</f>
        <v>6250</v>
      </c>
    </row>
    <row r="4">
      <c r="A4" s="33"/>
      <c r="B4" s="1802">
        <v>45967.0</v>
      </c>
      <c r="C4" s="1803" t="s">
        <v>48</v>
      </c>
      <c r="D4" s="1803">
        <v>4.0</v>
      </c>
      <c r="E4" s="1804">
        <v>150.0</v>
      </c>
      <c r="F4" s="1805">
        <f t="shared" si="1"/>
        <v>600</v>
      </c>
      <c r="G4" s="51"/>
    </row>
    <row r="5">
      <c r="A5" s="33"/>
      <c r="B5" s="1802">
        <v>45968.0</v>
      </c>
      <c r="C5" s="1803" t="s">
        <v>40</v>
      </c>
      <c r="D5" s="1803">
        <v>4.0</v>
      </c>
      <c r="E5" s="1804">
        <v>150.0</v>
      </c>
      <c r="F5" s="1805">
        <f t="shared" si="1"/>
        <v>600</v>
      </c>
      <c r="G5" s="51"/>
    </row>
    <row r="6">
      <c r="A6" s="33"/>
      <c r="B6" s="1802">
        <v>45969.0</v>
      </c>
      <c r="C6" s="1803" t="s">
        <v>40</v>
      </c>
      <c r="D6" s="1803">
        <v>4.0</v>
      </c>
      <c r="E6" s="1804">
        <v>150.0</v>
      </c>
      <c r="F6" s="1805">
        <f t="shared" si="1"/>
        <v>600</v>
      </c>
      <c r="G6" s="51"/>
    </row>
    <row r="7">
      <c r="A7" s="33"/>
      <c r="B7" s="1802">
        <v>45979.0</v>
      </c>
      <c r="C7" s="1803" t="s">
        <v>40</v>
      </c>
      <c r="D7" s="1803">
        <v>4.0</v>
      </c>
      <c r="E7" s="1804">
        <v>150.0</v>
      </c>
      <c r="F7" s="1805">
        <f t="shared" si="1"/>
        <v>600</v>
      </c>
      <c r="G7" s="51"/>
    </row>
    <row r="8">
      <c r="A8" s="33"/>
      <c r="B8" s="1802">
        <v>45983.0</v>
      </c>
      <c r="C8" s="1803" t="s">
        <v>151</v>
      </c>
      <c r="D8" s="1803">
        <v>3.0</v>
      </c>
      <c r="E8" s="1804">
        <v>150.0</v>
      </c>
      <c r="F8" s="1805">
        <f t="shared" si="1"/>
        <v>450</v>
      </c>
      <c r="G8" s="51"/>
    </row>
    <row r="9">
      <c r="A9" s="33"/>
      <c r="B9" s="1802">
        <v>45984.0</v>
      </c>
      <c r="C9" s="1803" t="s">
        <v>176</v>
      </c>
      <c r="D9" s="1803">
        <v>4.0</v>
      </c>
      <c r="E9" s="1804">
        <v>150.0</v>
      </c>
      <c r="F9" s="1805">
        <f t="shared" si="1"/>
        <v>600</v>
      </c>
      <c r="G9" s="51"/>
    </row>
    <row r="10">
      <c r="A10" s="33"/>
      <c r="B10" s="1802">
        <v>45985.0</v>
      </c>
      <c r="C10" s="1803" t="s">
        <v>390</v>
      </c>
      <c r="D10" s="1803">
        <v>3.0</v>
      </c>
      <c r="E10" s="1804">
        <v>200.0</v>
      </c>
      <c r="F10" s="1805">
        <f t="shared" si="1"/>
        <v>600</v>
      </c>
      <c r="G10" s="51"/>
    </row>
    <row r="11">
      <c r="A11" s="33"/>
      <c r="B11" s="1802">
        <v>45986.0</v>
      </c>
      <c r="C11" s="1803" t="s">
        <v>27</v>
      </c>
      <c r="D11" s="1803">
        <v>4.0</v>
      </c>
      <c r="E11" s="1804">
        <v>200.0</v>
      </c>
      <c r="F11" s="1805">
        <f t="shared" si="1"/>
        <v>800</v>
      </c>
      <c r="G11" s="51"/>
    </row>
    <row r="12">
      <c r="A12" s="56"/>
      <c r="B12" s="1802">
        <v>45991.0</v>
      </c>
      <c r="C12" s="1803" t="s">
        <v>112</v>
      </c>
      <c r="D12" s="1803">
        <v>4.0</v>
      </c>
      <c r="E12" s="1804">
        <v>200.0</v>
      </c>
      <c r="F12" s="1805">
        <f t="shared" si="1"/>
        <v>800</v>
      </c>
      <c r="G12" s="69"/>
    </row>
    <row r="13">
      <c r="A13" s="2003" t="s">
        <v>36</v>
      </c>
      <c r="B13" s="1797">
        <v>45968.0</v>
      </c>
      <c r="C13" s="1798" t="s">
        <v>38</v>
      </c>
      <c r="D13" s="1798">
        <v>3.0</v>
      </c>
      <c r="E13" s="1799">
        <v>150.0</v>
      </c>
      <c r="F13" s="1800">
        <f t="shared" si="1"/>
        <v>450</v>
      </c>
      <c r="G13" s="2004">
        <f>sum(F13:F20)</f>
        <v>3600</v>
      </c>
    </row>
    <row r="14">
      <c r="A14" s="33"/>
      <c r="B14" s="1802">
        <v>45970.0</v>
      </c>
      <c r="C14" s="1803" t="s">
        <v>40</v>
      </c>
      <c r="D14" s="1803">
        <v>4.0</v>
      </c>
      <c r="E14" s="1804">
        <v>150.0</v>
      </c>
      <c r="F14" s="1805">
        <f t="shared" si="1"/>
        <v>600</v>
      </c>
      <c r="G14" s="51"/>
    </row>
    <row r="15">
      <c r="A15" s="33"/>
      <c r="B15" s="1802">
        <v>45973.0</v>
      </c>
      <c r="C15" s="1803" t="s">
        <v>392</v>
      </c>
      <c r="D15" s="1803">
        <v>3.0</v>
      </c>
      <c r="E15" s="1804">
        <v>150.0</v>
      </c>
      <c r="F15" s="1805">
        <f t="shared" si="1"/>
        <v>450</v>
      </c>
      <c r="G15" s="51"/>
    </row>
    <row r="16" ht="20.25" customHeight="1">
      <c r="A16" s="33"/>
      <c r="B16" s="1806">
        <v>45974.0</v>
      </c>
      <c r="C16" s="1807" t="s">
        <v>38</v>
      </c>
      <c r="D16" s="1807">
        <v>3.0</v>
      </c>
      <c r="E16" s="1808">
        <v>150.0</v>
      </c>
      <c r="F16" s="1809">
        <f t="shared" si="1"/>
        <v>450</v>
      </c>
      <c r="G16" s="51"/>
    </row>
    <row r="17" ht="20.25" customHeight="1">
      <c r="A17" s="33"/>
      <c r="B17" s="1806">
        <v>45977.0</v>
      </c>
      <c r="C17" s="1807" t="s">
        <v>390</v>
      </c>
      <c r="D17" s="1807">
        <v>3.0</v>
      </c>
      <c r="E17" s="1808">
        <v>150.0</v>
      </c>
      <c r="F17" s="1809">
        <f t="shared" si="1"/>
        <v>450</v>
      </c>
      <c r="G17" s="51"/>
    </row>
    <row r="18" ht="20.25" customHeight="1">
      <c r="A18" s="33"/>
      <c r="B18" s="1806">
        <v>45980.0</v>
      </c>
      <c r="C18" s="1807" t="s">
        <v>507</v>
      </c>
      <c r="D18" s="1807">
        <v>2.0</v>
      </c>
      <c r="E18" s="1808">
        <v>150.0</v>
      </c>
      <c r="F18" s="1809">
        <f t="shared" si="1"/>
        <v>300</v>
      </c>
      <c r="G18" s="51"/>
    </row>
    <row r="19" ht="20.25" customHeight="1">
      <c r="A19" s="33"/>
      <c r="B19" s="1806">
        <v>45986.0</v>
      </c>
      <c r="C19" s="1807" t="s">
        <v>38</v>
      </c>
      <c r="D19" s="1807">
        <v>3.0</v>
      </c>
      <c r="E19" s="1808">
        <v>150.0</v>
      </c>
      <c r="F19" s="1809">
        <f t="shared" si="1"/>
        <v>450</v>
      </c>
      <c r="G19" s="51"/>
    </row>
    <row r="20" ht="20.25" customHeight="1">
      <c r="A20" s="56"/>
      <c r="B20" s="1810">
        <v>45991.0</v>
      </c>
      <c r="C20" s="1811" t="s">
        <v>151</v>
      </c>
      <c r="D20" s="1811">
        <v>3.0</v>
      </c>
      <c r="E20" s="1812">
        <v>150.0</v>
      </c>
      <c r="F20" s="1813">
        <f t="shared" si="1"/>
        <v>450</v>
      </c>
      <c r="G20" s="69"/>
    </row>
    <row r="21">
      <c r="A21" s="2005" t="s">
        <v>508</v>
      </c>
      <c r="B21" s="2006">
        <v>45987.0</v>
      </c>
      <c r="C21" s="2007" t="s">
        <v>392</v>
      </c>
      <c r="D21" s="2007">
        <v>3.0</v>
      </c>
      <c r="E21" s="2008">
        <v>150.0</v>
      </c>
      <c r="F21" s="2009">
        <f t="shared" si="1"/>
        <v>450</v>
      </c>
      <c r="G21" s="2010">
        <f>sum(F21:F22)</f>
        <v>1050</v>
      </c>
    </row>
    <row r="22">
      <c r="A22" s="56"/>
      <c r="B22" s="1810">
        <v>45991.0</v>
      </c>
      <c r="C22" s="1811" t="s">
        <v>157</v>
      </c>
      <c r="D22" s="1811">
        <v>4.0</v>
      </c>
      <c r="E22" s="1812">
        <v>150.0</v>
      </c>
      <c r="F22" s="1813">
        <f t="shared" si="1"/>
        <v>600</v>
      </c>
      <c r="G22" s="69"/>
    </row>
    <row r="23">
      <c r="A23" s="2005" t="s">
        <v>39</v>
      </c>
      <c r="B23" s="1814">
        <v>45963.0</v>
      </c>
      <c r="C23" s="1815" t="s">
        <v>31</v>
      </c>
      <c r="D23" s="1815">
        <v>4.0</v>
      </c>
      <c r="E23" s="1816">
        <v>150.0</v>
      </c>
      <c r="F23" s="1817">
        <f t="shared" si="1"/>
        <v>600</v>
      </c>
      <c r="G23" s="2010">
        <f>sum(F23:F34)</f>
        <v>7312.5</v>
      </c>
    </row>
    <row r="24">
      <c r="A24" s="33"/>
      <c r="B24" s="1802">
        <v>45965.0</v>
      </c>
      <c r="C24" s="1803" t="s">
        <v>48</v>
      </c>
      <c r="D24" s="1803">
        <v>4.0</v>
      </c>
      <c r="E24" s="1804">
        <v>150.0</v>
      </c>
      <c r="F24" s="1817">
        <f t="shared" si="1"/>
        <v>600</v>
      </c>
      <c r="G24" s="51"/>
    </row>
    <row r="25">
      <c r="A25" s="33"/>
      <c r="B25" s="1802">
        <v>45972.0</v>
      </c>
      <c r="C25" s="1803" t="s">
        <v>48</v>
      </c>
      <c r="D25" s="1803">
        <v>4.0</v>
      </c>
      <c r="E25" s="1804">
        <v>150.0</v>
      </c>
      <c r="F25" s="1817">
        <f t="shared" si="1"/>
        <v>600</v>
      </c>
      <c r="G25" s="51"/>
    </row>
    <row r="26">
      <c r="A26" s="33"/>
      <c r="B26" s="1802">
        <v>45974.0</v>
      </c>
      <c r="C26" s="1803" t="s">
        <v>48</v>
      </c>
      <c r="D26" s="1803">
        <v>4.0</v>
      </c>
      <c r="E26" s="1804">
        <v>150.0</v>
      </c>
      <c r="F26" s="1817">
        <f t="shared" si="1"/>
        <v>600</v>
      </c>
      <c r="G26" s="51"/>
    </row>
    <row r="27">
      <c r="A27" s="33"/>
      <c r="B27" s="1802">
        <v>45976.0</v>
      </c>
      <c r="C27" s="1803" t="s">
        <v>38</v>
      </c>
      <c r="D27" s="1803">
        <v>3.0</v>
      </c>
      <c r="E27" s="1804">
        <v>150.0</v>
      </c>
      <c r="F27" s="1817">
        <f t="shared" si="1"/>
        <v>450</v>
      </c>
      <c r="G27" s="51"/>
    </row>
    <row r="28">
      <c r="A28" s="33"/>
      <c r="B28" s="1802">
        <v>45979.0</v>
      </c>
      <c r="C28" s="1803" t="s">
        <v>31</v>
      </c>
      <c r="D28" s="1803">
        <v>4.0</v>
      </c>
      <c r="E28" s="1804">
        <v>150.0</v>
      </c>
      <c r="F28" s="1817">
        <f t="shared" si="1"/>
        <v>600</v>
      </c>
      <c r="G28" s="51"/>
    </row>
    <row r="29">
      <c r="A29" s="33"/>
      <c r="B29" s="1802">
        <v>45981.0</v>
      </c>
      <c r="C29" s="1803" t="s">
        <v>509</v>
      </c>
      <c r="D29" s="1803">
        <v>5.75</v>
      </c>
      <c r="E29" s="1804">
        <v>150.0</v>
      </c>
      <c r="F29" s="1817">
        <f t="shared" si="1"/>
        <v>862.5</v>
      </c>
      <c r="G29" s="51"/>
    </row>
    <row r="30">
      <c r="A30" s="33"/>
      <c r="B30" s="1802">
        <v>45983.0</v>
      </c>
      <c r="C30" s="1803" t="s">
        <v>157</v>
      </c>
      <c r="D30" s="1803">
        <v>4.0</v>
      </c>
      <c r="E30" s="1804">
        <v>150.0</v>
      </c>
      <c r="F30" s="1817">
        <f t="shared" si="1"/>
        <v>600</v>
      </c>
      <c r="G30" s="51"/>
    </row>
    <row r="31">
      <c r="A31" s="33"/>
      <c r="B31" s="1802">
        <v>45984.0</v>
      </c>
      <c r="C31" s="1803" t="s">
        <v>157</v>
      </c>
      <c r="D31" s="1803">
        <v>4.0</v>
      </c>
      <c r="E31" s="1804">
        <v>150.0</v>
      </c>
      <c r="F31" s="1817">
        <f t="shared" si="1"/>
        <v>600</v>
      </c>
      <c r="G31" s="51"/>
    </row>
    <row r="32">
      <c r="A32" s="33"/>
      <c r="B32" s="1802">
        <v>45985.0</v>
      </c>
      <c r="C32" s="1803" t="s">
        <v>157</v>
      </c>
      <c r="D32" s="1803">
        <v>4.0</v>
      </c>
      <c r="E32" s="1804">
        <v>150.0</v>
      </c>
      <c r="F32" s="1817">
        <f t="shared" si="1"/>
        <v>600</v>
      </c>
      <c r="G32" s="51"/>
    </row>
    <row r="33">
      <c r="A33" s="33"/>
      <c r="B33" s="1802">
        <v>45986.0</v>
      </c>
      <c r="C33" s="1803" t="s">
        <v>48</v>
      </c>
      <c r="D33" s="1803">
        <v>4.0</v>
      </c>
      <c r="E33" s="1804">
        <v>150.0</v>
      </c>
      <c r="F33" s="1817">
        <f t="shared" si="1"/>
        <v>600</v>
      </c>
      <c r="G33" s="51"/>
    </row>
    <row r="34">
      <c r="A34" s="56"/>
      <c r="B34" s="1819">
        <v>45991.0</v>
      </c>
      <c r="C34" s="1666" t="s">
        <v>176</v>
      </c>
      <c r="D34" s="1666">
        <v>4.0</v>
      </c>
      <c r="E34" s="1804">
        <v>150.0</v>
      </c>
      <c r="F34" s="1817">
        <f t="shared" si="1"/>
        <v>600</v>
      </c>
      <c r="G34" s="69"/>
    </row>
    <row r="35">
      <c r="A35" s="2011" t="s">
        <v>510</v>
      </c>
      <c r="B35" s="1822">
        <v>45985.0</v>
      </c>
      <c r="C35" s="1823" t="s">
        <v>176</v>
      </c>
      <c r="D35" s="1823">
        <v>4.0</v>
      </c>
      <c r="E35" s="1824">
        <v>130.0</v>
      </c>
      <c r="F35" s="1825">
        <f t="shared" si="1"/>
        <v>520</v>
      </c>
      <c r="G35" s="2012">
        <f>F35</f>
        <v>520</v>
      </c>
    </row>
    <row r="36">
      <c r="A36" s="2013" t="s">
        <v>461</v>
      </c>
      <c r="B36" s="1797">
        <v>45967.0</v>
      </c>
      <c r="C36" s="1798" t="s">
        <v>511</v>
      </c>
      <c r="D36" s="1828">
        <v>4.0</v>
      </c>
      <c r="E36" s="1829"/>
      <c r="F36" s="107"/>
      <c r="G36" s="108"/>
    </row>
    <row r="37">
      <c r="A37" s="33"/>
      <c r="B37" s="1814">
        <v>45968.0</v>
      </c>
      <c r="C37" s="1815" t="s">
        <v>34</v>
      </c>
      <c r="D37" s="2014">
        <v>3.0</v>
      </c>
      <c r="E37" s="255"/>
      <c r="G37" s="98"/>
    </row>
    <row r="38">
      <c r="A38" s="33"/>
      <c r="B38" s="1814">
        <v>45981.0</v>
      </c>
      <c r="C38" s="1815" t="s">
        <v>512</v>
      </c>
      <c r="D38" s="2014">
        <v>2.0</v>
      </c>
      <c r="E38" s="255"/>
      <c r="G38" s="98"/>
    </row>
    <row r="39">
      <c r="A39" s="56"/>
      <c r="B39" s="1802">
        <v>45984.0</v>
      </c>
      <c r="C39" s="1803" t="s">
        <v>34</v>
      </c>
      <c r="D39" s="1830">
        <v>3.0</v>
      </c>
      <c r="E39" s="256"/>
      <c r="F39" s="109"/>
      <c r="G39" s="110"/>
    </row>
    <row r="40">
      <c r="A40" s="2003" t="s">
        <v>82</v>
      </c>
      <c r="B40" s="1797">
        <v>45977.0</v>
      </c>
      <c r="C40" s="1798" t="s">
        <v>40</v>
      </c>
      <c r="D40" s="1798">
        <v>4.0</v>
      </c>
      <c r="E40" s="1799">
        <v>230.0</v>
      </c>
      <c r="F40" s="1834">
        <f t="shared" ref="F40:F41" si="2">D40*E40</f>
        <v>920</v>
      </c>
      <c r="G40" s="2015">
        <f>F40+F41</f>
        <v>1610</v>
      </c>
    </row>
    <row r="41">
      <c r="A41" s="56"/>
      <c r="B41" s="1810">
        <v>45984.0</v>
      </c>
      <c r="C41" s="1811" t="s">
        <v>151</v>
      </c>
      <c r="D41" s="1811">
        <v>3.0</v>
      </c>
      <c r="E41" s="1812">
        <v>230.0</v>
      </c>
      <c r="F41" s="1836">
        <f t="shared" si="2"/>
        <v>690</v>
      </c>
      <c r="G41" s="182"/>
    </row>
    <row r="42">
      <c r="A42" s="1646"/>
      <c r="B42" s="1515"/>
      <c r="C42" s="1515"/>
      <c r="D42" s="1515"/>
      <c r="E42" s="1646"/>
      <c r="F42" s="1646"/>
      <c r="G42" s="2016"/>
    </row>
    <row r="43">
      <c r="A43" s="1646"/>
      <c r="B43" s="1515"/>
      <c r="C43" s="1515"/>
      <c r="D43" s="1515"/>
      <c r="E43" s="1646"/>
      <c r="F43" s="1646"/>
      <c r="G43" s="1646"/>
    </row>
    <row r="44">
      <c r="A44" s="2017" t="s">
        <v>513</v>
      </c>
      <c r="C44" s="2017" t="s">
        <v>514</v>
      </c>
      <c r="F44" s="2017" t="s">
        <v>466</v>
      </c>
    </row>
    <row r="45">
      <c r="A45" s="1646"/>
      <c r="B45" s="1515"/>
      <c r="C45" s="1515"/>
      <c r="D45" s="1515"/>
      <c r="E45" s="1646"/>
      <c r="F45" s="1646"/>
      <c r="G45" s="1646"/>
    </row>
    <row r="46">
      <c r="A46" s="1646"/>
      <c r="B46" s="1515"/>
      <c r="C46" s="1515"/>
      <c r="D46" s="1515"/>
      <c r="E46" s="1646"/>
      <c r="F46" s="1646"/>
      <c r="G46" s="1646"/>
    </row>
    <row r="47">
      <c r="A47" s="1646"/>
      <c r="B47" s="1515"/>
      <c r="C47" s="1515"/>
      <c r="D47" s="1515"/>
      <c r="E47" s="1646"/>
      <c r="F47" s="1646"/>
      <c r="G47" s="1646"/>
    </row>
    <row r="48">
      <c r="B48" s="1838"/>
      <c r="C48" s="1838"/>
      <c r="D48" s="1838"/>
    </row>
    <row r="49">
      <c r="B49" s="1838"/>
      <c r="C49" s="1838"/>
      <c r="D49" s="1838"/>
    </row>
    <row r="50">
      <c r="B50" s="1838"/>
      <c r="C50" s="1838"/>
      <c r="D50" s="1838"/>
    </row>
    <row r="51">
      <c r="B51" s="1838"/>
      <c r="C51" s="1838"/>
      <c r="D51" s="1838"/>
    </row>
    <row r="52">
      <c r="B52" s="1838"/>
      <c r="C52" s="1838"/>
      <c r="D52" s="1838"/>
    </row>
    <row r="53">
      <c r="B53" s="1838"/>
      <c r="C53" s="1838"/>
      <c r="D53" s="1838"/>
    </row>
    <row r="54">
      <c r="B54" s="1838"/>
      <c r="C54" s="1838"/>
      <c r="D54" s="1838"/>
    </row>
    <row r="55">
      <c r="B55" s="1838"/>
      <c r="C55" s="1838"/>
      <c r="D55" s="1838"/>
    </row>
    <row r="56">
      <c r="B56" s="1838"/>
      <c r="C56" s="1838"/>
      <c r="D56" s="1838"/>
    </row>
  </sheetData>
  <mergeCells count="16">
    <mergeCell ref="G21:G22"/>
    <mergeCell ref="G23:G34"/>
    <mergeCell ref="A36:A39"/>
    <mergeCell ref="E36:G39"/>
    <mergeCell ref="A40:A41"/>
    <mergeCell ref="G40:G41"/>
    <mergeCell ref="A44:B44"/>
    <mergeCell ref="C44:E44"/>
    <mergeCell ref="F44:G44"/>
    <mergeCell ref="A1:G1"/>
    <mergeCell ref="A3:A12"/>
    <mergeCell ref="G3:G12"/>
    <mergeCell ref="A13:A20"/>
    <mergeCell ref="G13:G20"/>
    <mergeCell ref="A21:A22"/>
    <mergeCell ref="A23:A34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75"/>
  </cols>
  <sheetData>
    <row r="1">
      <c r="A1" s="1" t="s">
        <v>467</v>
      </c>
    </row>
    <row r="3">
      <c r="A3" s="8" t="s">
        <v>10</v>
      </c>
      <c r="B3" s="1452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9" t="s">
        <v>16</v>
      </c>
      <c r="H3" s="1452" t="s">
        <v>17</v>
      </c>
    </row>
    <row r="4">
      <c r="A4" s="341" t="s">
        <v>55</v>
      </c>
      <c r="B4" s="1585">
        <v>45992.0</v>
      </c>
      <c r="C4" s="296" t="s">
        <v>27</v>
      </c>
      <c r="D4" s="395" t="s">
        <v>63</v>
      </c>
      <c r="E4" s="1613"/>
      <c r="F4" s="346">
        <v>4.0</v>
      </c>
      <c r="G4" s="298" t="s">
        <v>73</v>
      </c>
      <c r="H4" s="1597" t="s">
        <v>122</v>
      </c>
    </row>
    <row r="5">
      <c r="A5" s="33"/>
      <c r="B5" s="142"/>
      <c r="C5" s="1509" t="s">
        <v>176</v>
      </c>
      <c r="D5" s="1467" t="s">
        <v>82</v>
      </c>
      <c r="E5" s="1676"/>
      <c r="F5" s="1588">
        <v>4.0</v>
      </c>
      <c r="G5" s="509" t="s">
        <v>73</v>
      </c>
      <c r="H5" s="142"/>
      <c r="I5" s="241" t="s">
        <v>515</v>
      </c>
    </row>
    <row r="6">
      <c r="A6" s="33"/>
      <c r="B6" s="142"/>
      <c r="C6" s="1643" t="s">
        <v>151</v>
      </c>
      <c r="D6" s="398" t="s">
        <v>43</v>
      </c>
      <c r="E6" s="418"/>
      <c r="F6" s="1599">
        <v>3.0</v>
      </c>
      <c r="G6" s="305" t="s">
        <v>73</v>
      </c>
      <c r="H6" s="142"/>
    </row>
    <row r="7">
      <c r="A7" s="56"/>
      <c r="B7" s="182"/>
      <c r="C7" s="2018" t="s">
        <v>157</v>
      </c>
      <c r="D7" s="2019" t="s">
        <v>39</v>
      </c>
      <c r="E7" s="2020"/>
      <c r="F7" s="2021">
        <v>4.0</v>
      </c>
      <c r="G7" s="2022" t="s">
        <v>73</v>
      </c>
      <c r="H7" s="182"/>
    </row>
    <row r="8">
      <c r="A8" s="341" t="s">
        <v>58</v>
      </c>
      <c r="B8" s="1585">
        <v>45993.0</v>
      </c>
      <c r="C8" s="2023" t="s">
        <v>27</v>
      </c>
      <c r="D8" s="395" t="s">
        <v>63</v>
      </c>
      <c r="E8" s="1613"/>
      <c r="F8" s="346">
        <v>4.0</v>
      </c>
      <c r="G8" s="298" t="s">
        <v>73</v>
      </c>
      <c r="H8" s="1597" t="s">
        <v>122</v>
      </c>
    </row>
    <row r="9">
      <c r="A9" s="33"/>
      <c r="B9" s="142"/>
      <c r="C9" s="2024" t="s">
        <v>176</v>
      </c>
      <c r="D9" s="417" t="s">
        <v>71</v>
      </c>
      <c r="E9" s="1839"/>
      <c r="F9" s="357">
        <v>4.0</v>
      </c>
      <c r="G9" s="409" t="s">
        <v>73</v>
      </c>
      <c r="H9" s="142"/>
    </row>
    <row r="10">
      <c r="A10" s="33"/>
      <c r="B10" s="142"/>
      <c r="C10" s="2025" t="s">
        <v>48</v>
      </c>
      <c r="D10" s="2026" t="s">
        <v>39</v>
      </c>
      <c r="E10" s="2027"/>
      <c r="F10" s="2028">
        <v>4.0</v>
      </c>
      <c r="G10" s="2029" t="s">
        <v>73</v>
      </c>
      <c r="H10" s="142"/>
    </row>
    <row r="11">
      <c r="A11" s="56"/>
      <c r="B11" s="182"/>
      <c r="C11" s="2030" t="s">
        <v>38</v>
      </c>
      <c r="D11" s="1724" t="s">
        <v>36</v>
      </c>
      <c r="E11" s="1725"/>
      <c r="F11" s="1726">
        <v>3.0</v>
      </c>
      <c r="G11" s="1727" t="s">
        <v>73</v>
      </c>
      <c r="H11" s="182"/>
    </row>
    <row r="12">
      <c r="A12" s="341" t="s">
        <v>62</v>
      </c>
      <c r="B12" s="1585">
        <v>45994.0</v>
      </c>
      <c r="C12" s="2031" t="s">
        <v>432</v>
      </c>
      <c r="D12" s="2032" t="s">
        <v>43</v>
      </c>
      <c r="E12" s="2033" t="s">
        <v>468</v>
      </c>
      <c r="F12" s="2034">
        <v>6.0</v>
      </c>
      <c r="G12" s="2035" t="s">
        <v>73</v>
      </c>
      <c r="H12" s="1492" t="s">
        <v>74</v>
      </c>
      <c r="I12" s="241" t="s">
        <v>516</v>
      </c>
    </row>
    <row r="13">
      <c r="A13" s="56"/>
      <c r="B13" s="182"/>
      <c r="C13" s="56"/>
      <c r="D13" s="80"/>
      <c r="E13" s="80"/>
      <c r="F13" s="80"/>
      <c r="G13" s="80"/>
      <c r="H13" s="182"/>
    </row>
    <row r="14">
      <c r="A14" s="341" t="s">
        <v>77</v>
      </c>
      <c r="B14" s="1585">
        <v>45995.0</v>
      </c>
      <c r="C14" s="2036" t="s">
        <v>27</v>
      </c>
      <c r="D14" s="395" t="s">
        <v>63</v>
      </c>
      <c r="E14" s="1789"/>
      <c r="F14" s="346">
        <v>4.0</v>
      </c>
      <c r="G14" s="298" t="s">
        <v>73</v>
      </c>
      <c r="H14" s="1597" t="s">
        <v>122</v>
      </c>
    </row>
    <row r="15">
      <c r="A15" s="33"/>
      <c r="B15" s="142"/>
      <c r="C15" s="2037" t="s">
        <v>176</v>
      </c>
      <c r="D15" s="398" t="s">
        <v>43</v>
      </c>
      <c r="E15" s="1688"/>
      <c r="F15" s="1599">
        <v>4.0</v>
      </c>
      <c r="G15" s="305" t="s">
        <v>73</v>
      </c>
      <c r="H15" s="142"/>
    </row>
    <row r="16">
      <c r="A16" s="33"/>
      <c r="B16" s="142"/>
      <c r="C16" s="2024" t="s">
        <v>48</v>
      </c>
      <c r="D16" s="417" t="s">
        <v>71</v>
      </c>
      <c r="E16" s="1615"/>
      <c r="F16" s="357">
        <v>4.0</v>
      </c>
      <c r="G16" s="409" t="s">
        <v>73</v>
      </c>
      <c r="H16" s="142"/>
    </row>
    <row r="17">
      <c r="A17" s="56"/>
      <c r="B17" s="182"/>
      <c r="C17" s="2038" t="s">
        <v>38</v>
      </c>
      <c r="D17" s="1735" t="s">
        <v>67</v>
      </c>
      <c r="E17" s="1074"/>
      <c r="F17" s="1593">
        <v>3.0</v>
      </c>
      <c r="G17" s="1736" t="s">
        <v>73</v>
      </c>
      <c r="H17" s="182"/>
    </row>
    <row r="18">
      <c r="A18" s="341" t="s">
        <v>26</v>
      </c>
      <c r="B18" s="1585">
        <v>45996.0</v>
      </c>
      <c r="C18" s="2036" t="s">
        <v>27</v>
      </c>
      <c r="D18" s="395" t="s">
        <v>63</v>
      </c>
      <c r="E18" s="1789"/>
      <c r="F18" s="346">
        <v>4.0</v>
      </c>
      <c r="G18" s="298" t="s">
        <v>73</v>
      </c>
      <c r="H18" s="1597" t="s">
        <v>122</v>
      </c>
    </row>
    <row r="19">
      <c r="A19" s="33"/>
      <c r="B19" s="142"/>
      <c r="C19" s="2024" t="s">
        <v>176</v>
      </c>
      <c r="D19" s="417" t="s">
        <v>71</v>
      </c>
      <c r="E19" s="1759"/>
      <c r="F19" s="357">
        <v>4.0</v>
      </c>
      <c r="G19" s="409" t="s">
        <v>73</v>
      </c>
      <c r="H19" s="142"/>
    </row>
    <row r="20">
      <c r="A20" s="33"/>
      <c r="B20" s="142"/>
      <c r="C20" s="1940" t="s">
        <v>151</v>
      </c>
      <c r="D20" s="398" t="s">
        <v>43</v>
      </c>
      <c r="E20" s="418"/>
      <c r="F20" s="1599">
        <v>3.0</v>
      </c>
      <c r="G20" s="305" t="s">
        <v>73</v>
      </c>
      <c r="H20" s="142"/>
    </row>
    <row r="21">
      <c r="A21" s="56"/>
      <c r="B21" s="182"/>
      <c r="C21" s="2039" t="s">
        <v>157</v>
      </c>
      <c r="D21" s="2019" t="s">
        <v>39</v>
      </c>
      <c r="E21" s="2020"/>
      <c r="F21" s="2021">
        <v>4.0</v>
      </c>
      <c r="G21" s="2022" t="s">
        <v>73</v>
      </c>
      <c r="H21" s="182"/>
    </row>
    <row r="22">
      <c r="A22" s="341" t="s">
        <v>41</v>
      </c>
      <c r="B22" s="1585">
        <v>45997.0</v>
      </c>
      <c r="C22" s="2036" t="s">
        <v>27</v>
      </c>
      <c r="D22" s="395" t="s">
        <v>63</v>
      </c>
      <c r="E22" s="344" t="s">
        <v>71</v>
      </c>
      <c r="F22" s="346">
        <v>4.0</v>
      </c>
      <c r="G22" s="298" t="s">
        <v>73</v>
      </c>
      <c r="H22" s="1597" t="s">
        <v>122</v>
      </c>
    </row>
    <row r="23">
      <c r="A23" s="33"/>
      <c r="B23" s="142"/>
      <c r="C23" s="1866" t="s">
        <v>40</v>
      </c>
      <c r="D23" s="1665" t="s">
        <v>470</v>
      </c>
      <c r="E23" s="1975"/>
      <c r="F23" s="1666">
        <v>4.0</v>
      </c>
      <c r="G23" s="1538" t="s">
        <v>73</v>
      </c>
      <c r="H23" s="142"/>
      <c r="I23" s="241" t="s">
        <v>517</v>
      </c>
    </row>
    <row r="24">
      <c r="A24" s="33"/>
      <c r="B24" s="142"/>
      <c r="C24" s="2040" t="s">
        <v>31</v>
      </c>
      <c r="D24" s="1651" t="s">
        <v>36</v>
      </c>
      <c r="E24" s="1652"/>
      <c r="F24" s="1653">
        <v>4.0</v>
      </c>
      <c r="G24" s="1654" t="s">
        <v>73</v>
      </c>
      <c r="H24" s="142"/>
    </row>
    <row r="25">
      <c r="A25" s="56"/>
      <c r="B25" s="182"/>
      <c r="C25" s="2041" t="s">
        <v>38</v>
      </c>
      <c r="D25" s="1618" t="s">
        <v>503</v>
      </c>
      <c r="E25" s="1619"/>
      <c r="F25" s="1604">
        <v>3.0</v>
      </c>
      <c r="G25" s="1605" t="s">
        <v>73</v>
      </c>
      <c r="H25" s="182"/>
    </row>
    <row r="26">
      <c r="A26" s="1853" t="s">
        <v>45</v>
      </c>
      <c r="B26" s="1854">
        <v>45998.0</v>
      </c>
      <c r="C26" s="2036" t="s">
        <v>27</v>
      </c>
      <c r="D26" s="395" t="s">
        <v>63</v>
      </c>
      <c r="E26" s="1613"/>
      <c r="F26" s="346">
        <v>4.0</v>
      </c>
      <c r="G26" s="298" t="s">
        <v>73</v>
      </c>
      <c r="H26" s="1597" t="s">
        <v>122</v>
      </c>
    </row>
    <row r="27">
      <c r="A27" s="33"/>
      <c r="B27" s="142"/>
      <c r="C27" s="1866" t="s">
        <v>40</v>
      </c>
      <c r="D27" s="1665" t="s">
        <v>488</v>
      </c>
      <c r="E27" s="1975"/>
      <c r="F27" s="1666">
        <v>4.0</v>
      </c>
      <c r="G27" s="1538" t="s">
        <v>73</v>
      </c>
      <c r="H27" s="142"/>
      <c r="I27" s="241" t="s">
        <v>518</v>
      </c>
    </row>
    <row r="28">
      <c r="A28" s="33"/>
      <c r="B28" s="142"/>
      <c r="C28" s="2025" t="s">
        <v>151</v>
      </c>
      <c r="D28" s="2026" t="s">
        <v>39</v>
      </c>
      <c r="E28" s="2027"/>
      <c r="F28" s="2028">
        <v>3.0</v>
      </c>
      <c r="G28" s="2029" t="s">
        <v>73</v>
      </c>
      <c r="H28" s="142"/>
    </row>
    <row r="29">
      <c r="A29" s="56"/>
      <c r="B29" s="182"/>
      <c r="C29" s="2039" t="s">
        <v>157</v>
      </c>
      <c r="D29" s="2019" t="s">
        <v>39</v>
      </c>
      <c r="E29" s="2020"/>
      <c r="F29" s="2021">
        <v>4.0</v>
      </c>
      <c r="G29" s="2022" t="s">
        <v>73</v>
      </c>
      <c r="H29" s="182"/>
    </row>
    <row r="32">
      <c r="A32" s="1" t="s">
        <v>397</v>
      </c>
    </row>
    <row r="34">
      <c r="A34" s="8" t="s">
        <v>10</v>
      </c>
      <c r="B34" s="1452" t="s">
        <v>11</v>
      </c>
      <c r="C34" s="9" t="s">
        <v>12</v>
      </c>
      <c r="D34" s="9" t="s">
        <v>13</v>
      </c>
      <c r="E34" s="9" t="s">
        <v>14</v>
      </c>
      <c r="F34" s="10" t="s">
        <v>15</v>
      </c>
      <c r="G34" s="9" t="s">
        <v>16</v>
      </c>
      <c r="H34" s="1452" t="s">
        <v>17</v>
      </c>
    </row>
    <row r="35" hidden="1">
      <c r="A35" s="1488" t="s">
        <v>58</v>
      </c>
      <c r="B35" s="1929">
        <v>46000.0</v>
      </c>
      <c r="C35" s="2042" t="s">
        <v>519</v>
      </c>
      <c r="D35" s="109"/>
      <c r="E35" s="109"/>
      <c r="F35" s="109"/>
      <c r="G35" s="109"/>
      <c r="H35" s="110"/>
      <c r="I35" s="241"/>
    </row>
    <row r="36">
      <c r="A36" s="341" t="s">
        <v>62</v>
      </c>
      <c r="B36" s="1585">
        <v>46001.0</v>
      </c>
      <c r="C36" s="2043" t="s">
        <v>151</v>
      </c>
      <c r="D36" s="1559" t="s">
        <v>63</v>
      </c>
      <c r="E36" s="2044" t="s">
        <v>145</v>
      </c>
      <c r="F36" s="1919">
        <v>3.0</v>
      </c>
      <c r="G36" s="1777" t="s">
        <v>73</v>
      </c>
      <c r="H36" s="1492" t="s">
        <v>74</v>
      </c>
      <c r="I36" s="241"/>
    </row>
    <row r="37">
      <c r="A37" s="56"/>
      <c r="B37" s="182"/>
      <c r="C37" s="2045" t="s">
        <v>392</v>
      </c>
      <c r="D37" s="2019" t="s">
        <v>39</v>
      </c>
      <c r="E37" s="80"/>
      <c r="F37" s="2046">
        <v>3.0</v>
      </c>
      <c r="G37" s="2022" t="s">
        <v>73</v>
      </c>
      <c r="H37" s="182"/>
    </row>
    <row r="38">
      <c r="A38" s="341" t="s">
        <v>77</v>
      </c>
      <c r="B38" s="1585">
        <v>46002.0</v>
      </c>
      <c r="C38" s="1936" t="s">
        <v>27</v>
      </c>
      <c r="D38" s="1559" t="s">
        <v>63</v>
      </c>
      <c r="E38" s="2047"/>
      <c r="F38" s="1776">
        <v>4.0</v>
      </c>
      <c r="G38" s="1777" t="s">
        <v>73</v>
      </c>
      <c r="H38" s="1597" t="s">
        <v>403</v>
      </c>
      <c r="I38" s="241" t="s">
        <v>487</v>
      </c>
    </row>
    <row r="39">
      <c r="A39" s="33"/>
      <c r="B39" s="142"/>
      <c r="C39" s="2048" t="s">
        <v>176</v>
      </c>
      <c r="D39" s="1467" t="s">
        <v>500</v>
      </c>
      <c r="E39" s="1768"/>
      <c r="F39" s="1588">
        <v>4.0</v>
      </c>
      <c r="G39" s="509" t="s">
        <v>73</v>
      </c>
      <c r="H39" s="142"/>
    </row>
    <row r="40">
      <c r="A40" s="33"/>
      <c r="B40" s="142"/>
      <c r="C40" s="2037" t="s">
        <v>48</v>
      </c>
      <c r="D40" s="398" t="s">
        <v>43</v>
      </c>
      <c r="E40" s="418"/>
      <c r="F40" s="1599">
        <v>4.0</v>
      </c>
      <c r="G40" s="305" t="s">
        <v>73</v>
      </c>
      <c r="H40" s="142"/>
    </row>
    <row r="41">
      <c r="A41" s="56"/>
      <c r="B41" s="182"/>
      <c r="C41" s="2049" t="s">
        <v>38</v>
      </c>
      <c r="D41" s="1668" t="s">
        <v>101</v>
      </c>
      <c r="E41" s="431"/>
      <c r="F41" s="1669">
        <v>3.0</v>
      </c>
      <c r="G41" s="315" t="s">
        <v>73</v>
      </c>
      <c r="H41" s="182"/>
    </row>
    <row r="42">
      <c r="A42" s="341" t="s">
        <v>26</v>
      </c>
      <c r="B42" s="1585">
        <v>46003.0</v>
      </c>
      <c r="C42" s="1936" t="s">
        <v>27</v>
      </c>
      <c r="D42" s="1559" t="s">
        <v>63</v>
      </c>
      <c r="E42" s="2047"/>
      <c r="F42" s="1776">
        <v>4.0</v>
      </c>
      <c r="G42" s="1777" t="s">
        <v>73</v>
      </c>
      <c r="H42" s="1597" t="s">
        <v>403</v>
      </c>
    </row>
    <row r="43">
      <c r="A43" s="33"/>
      <c r="B43" s="142"/>
      <c r="C43" s="2037" t="s">
        <v>176</v>
      </c>
      <c r="D43" s="398" t="s">
        <v>43</v>
      </c>
      <c r="E43" s="1688"/>
      <c r="F43" s="1599">
        <v>4.0</v>
      </c>
      <c r="G43" s="305" t="s">
        <v>73</v>
      </c>
      <c r="H43" s="142"/>
    </row>
    <row r="44">
      <c r="A44" s="33"/>
      <c r="B44" s="142"/>
      <c r="C44" s="2025" t="s">
        <v>151</v>
      </c>
      <c r="D44" s="2026" t="s">
        <v>39</v>
      </c>
      <c r="E44" s="2027"/>
      <c r="F44" s="2028">
        <v>3.0</v>
      </c>
      <c r="G44" s="2029" t="s">
        <v>73</v>
      </c>
      <c r="H44" s="142"/>
    </row>
    <row r="45">
      <c r="A45" s="56"/>
      <c r="B45" s="182"/>
      <c r="C45" s="1927" t="s">
        <v>157</v>
      </c>
      <c r="D45" s="1564" t="s">
        <v>71</v>
      </c>
      <c r="E45" s="1556"/>
      <c r="F45" s="1594">
        <v>4.0</v>
      </c>
      <c r="G45" s="1557" t="s">
        <v>73</v>
      </c>
      <c r="H45" s="182"/>
    </row>
    <row r="48">
      <c r="A48" s="1" t="s">
        <v>409</v>
      </c>
    </row>
    <row r="50">
      <c r="A50" s="2050" t="s">
        <v>10</v>
      </c>
      <c r="B50" s="2051" t="s">
        <v>11</v>
      </c>
      <c r="C50" s="2052" t="s">
        <v>12</v>
      </c>
      <c r="D50" s="2052" t="s">
        <v>13</v>
      </c>
      <c r="E50" s="2052" t="s">
        <v>14</v>
      </c>
      <c r="F50" s="1455" t="s">
        <v>15</v>
      </c>
      <c r="G50" s="2052" t="s">
        <v>16</v>
      </c>
      <c r="H50" s="2051" t="s">
        <v>17</v>
      </c>
    </row>
    <row r="51">
      <c r="A51" s="341" t="s">
        <v>58</v>
      </c>
      <c r="B51" s="1585">
        <v>46007.0</v>
      </c>
      <c r="C51" s="2053" t="s">
        <v>520</v>
      </c>
      <c r="D51" s="1678" t="s">
        <v>43</v>
      </c>
      <c r="E51" s="1679"/>
      <c r="F51" s="1680">
        <v>4.0</v>
      </c>
      <c r="G51" s="1644"/>
      <c r="H51" s="1459" t="s">
        <v>521</v>
      </c>
    </row>
    <row r="52">
      <c r="A52" s="33"/>
      <c r="B52" s="142"/>
      <c r="C52" s="2054" t="s">
        <v>522</v>
      </c>
      <c r="D52" s="1665" t="s">
        <v>499</v>
      </c>
      <c r="E52" s="2055"/>
      <c r="F52" s="1803">
        <v>4.0</v>
      </c>
      <c r="G52" s="1538"/>
      <c r="H52" s="142"/>
    </row>
    <row r="53">
      <c r="A53" s="33"/>
      <c r="B53" s="142"/>
      <c r="C53" s="2054" t="s">
        <v>330</v>
      </c>
      <c r="D53" s="1665" t="s">
        <v>120</v>
      </c>
      <c r="E53" s="2055"/>
      <c r="F53" s="1803">
        <v>4.0</v>
      </c>
      <c r="G53" s="1538"/>
      <c r="H53" s="142"/>
    </row>
    <row r="54">
      <c r="A54" s="33"/>
      <c r="B54" s="142"/>
      <c r="C54" s="2056" t="s">
        <v>44</v>
      </c>
      <c r="D54" s="2057" t="s">
        <v>63</v>
      </c>
      <c r="E54" s="2058"/>
      <c r="F54" s="2059">
        <v>4.0</v>
      </c>
      <c r="G54" s="2060"/>
      <c r="H54" s="142"/>
    </row>
    <row r="55">
      <c r="A55" s="33"/>
      <c r="B55" s="142"/>
      <c r="C55" s="2061" t="s">
        <v>106</v>
      </c>
      <c r="D55" s="2026" t="s">
        <v>39</v>
      </c>
      <c r="E55" s="2062"/>
      <c r="F55" s="2063">
        <v>4.0</v>
      </c>
      <c r="G55" s="2029"/>
      <c r="H55" s="142"/>
    </row>
    <row r="56">
      <c r="A56" s="56"/>
      <c r="B56" s="182"/>
      <c r="C56" s="2064" t="s">
        <v>37</v>
      </c>
      <c r="D56" s="1754" t="s">
        <v>63</v>
      </c>
      <c r="E56" s="2065"/>
      <c r="F56" s="2066">
        <v>4.0</v>
      </c>
      <c r="G56" s="494"/>
      <c r="H56" s="182"/>
    </row>
    <row r="57">
      <c r="A57" s="1641" t="s">
        <v>62</v>
      </c>
      <c r="B57" s="2067">
        <v>46008.0</v>
      </c>
      <c r="C57" s="2043" t="s">
        <v>151</v>
      </c>
      <c r="D57" s="2068" t="s">
        <v>63</v>
      </c>
      <c r="E57" s="2069" t="s">
        <v>523</v>
      </c>
      <c r="F57" s="2070">
        <v>3.0</v>
      </c>
      <c r="G57" s="2071" t="s">
        <v>73</v>
      </c>
      <c r="H57" s="2072" t="s">
        <v>74</v>
      </c>
    </row>
    <row r="58">
      <c r="A58" s="56"/>
      <c r="B58" s="182"/>
      <c r="C58" s="2073" t="s">
        <v>392</v>
      </c>
      <c r="D58" s="1564" t="s">
        <v>71</v>
      </c>
      <c r="E58" s="1758" t="s">
        <v>524</v>
      </c>
      <c r="F58" s="1565">
        <v>3.0</v>
      </c>
      <c r="G58" s="1557" t="s">
        <v>73</v>
      </c>
      <c r="H58" s="182"/>
    </row>
    <row r="59">
      <c r="A59" s="341" t="s">
        <v>77</v>
      </c>
      <c r="B59" s="1585">
        <v>46009.0</v>
      </c>
      <c r="C59" s="1936" t="s">
        <v>27</v>
      </c>
      <c r="D59" s="1559" t="s">
        <v>63</v>
      </c>
      <c r="E59" s="2047"/>
      <c r="F59" s="1776">
        <v>4.0</v>
      </c>
      <c r="G59" s="1777" t="s">
        <v>73</v>
      </c>
      <c r="H59" s="1597" t="s">
        <v>122</v>
      </c>
    </row>
    <row r="60">
      <c r="A60" s="33"/>
      <c r="B60" s="142"/>
      <c r="C60" s="2048" t="s">
        <v>176</v>
      </c>
      <c r="D60" s="1467" t="s">
        <v>500</v>
      </c>
      <c r="E60" s="1768"/>
      <c r="F60" s="1588">
        <v>4.0</v>
      </c>
      <c r="G60" s="509" t="s">
        <v>73</v>
      </c>
      <c r="H60" s="142"/>
    </row>
    <row r="61">
      <c r="A61" s="33"/>
      <c r="B61" s="142"/>
      <c r="C61" s="2024" t="s">
        <v>48</v>
      </c>
      <c r="D61" s="417" t="s">
        <v>71</v>
      </c>
      <c r="E61" s="1615"/>
      <c r="F61" s="357">
        <v>4.0</v>
      </c>
      <c r="G61" s="409" t="s">
        <v>73</v>
      </c>
      <c r="H61" s="142"/>
    </row>
    <row r="62">
      <c r="A62" s="56"/>
      <c r="B62" s="182"/>
      <c r="C62" s="2074" t="s">
        <v>38</v>
      </c>
      <c r="D62" s="1724" t="s">
        <v>36</v>
      </c>
      <c r="E62" s="1725"/>
      <c r="F62" s="1726">
        <v>3.0</v>
      </c>
      <c r="G62" s="1727" t="s">
        <v>73</v>
      </c>
      <c r="H62" s="182"/>
    </row>
    <row r="63">
      <c r="A63" s="2075" t="s">
        <v>26</v>
      </c>
      <c r="B63" s="2076">
        <v>46010.0</v>
      </c>
      <c r="C63" s="2077" t="s">
        <v>27</v>
      </c>
      <c r="D63" s="1559" t="s">
        <v>63</v>
      </c>
      <c r="E63" s="2047"/>
      <c r="F63" s="1776">
        <v>4.0</v>
      </c>
      <c r="G63" s="1777" t="s">
        <v>73</v>
      </c>
      <c r="H63" s="1597" t="s">
        <v>122</v>
      </c>
    </row>
    <row r="64">
      <c r="A64" s="255"/>
      <c r="B64" s="51"/>
      <c r="C64" s="2078" t="s">
        <v>176</v>
      </c>
      <c r="D64" s="1665" t="s">
        <v>525</v>
      </c>
      <c r="E64" s="2079"/>
      <c r="F64" s="1666">
        <v>4.0</v>
      </c>
      <c r="G64" s="1538" t="s">
        <v>73</v>
      </c>
      <c r="H64" s="142"/>
    </row>
    <row r="65">
      <c r="A65" s="255"/>
      <c r="B65" s="51"/>
      <c r="C65" s="2080" t="s">
        <v>151</v>
      </c>
      <c r="D65" s="398" t="s">
        <v>43</v>
      </c>
      <c r="E65" s="418"/>
      <c r="F65" s="1599">
        <v>3.0</v>
      </c>
      <c r="G65" s="305" t="s">
        <v>73</v>
      </c>
      <c r="H65" s="142"/>
    </row>
    <row r="66">
      <c r="A66" s="255"/>
      <c r="B66" s="51"/>
      <c r="C66" s="2081" t="s">
        <v>157</v>
      </c>
      <c r="D66" s="2082" t="s">
        <v>503</v>
      </c>
      <c r="E66" s="2083"/>
      <c r="F66" s="2084">
        <v>4.0</v>
      </c>
      <c r="G66" s="2085" t="s">
        <v>73</v>
      </c>
      <c r="H66" s="142"/>
    </row>
    <row r="67">
      <c r="A67" s="256"/>
      <c r="B67" s="69"/>
      <c r="C67" s="2086" t="s">
        <v>70</v>
      </c>
      <c r="D67" s="1637" t="s">
        <v>71</v>
      </c>
      <c r="E67" s="2087"/>
      <c r="F67" s="1638">
        <v>4.0</v>
      </c>
      <c r="G67" s="2088" t="s">
        <v>439</v>
      </c>
      <c r="H67" s="1733" t="s">
        <v>526</v>
      </c>
    </row>
    <row r="68">
      <c r="A68" s="341" t="s">
        <v>45</v>
      </c>
      <c r="B68" s="1585">
        <v>46012.0</v>
      </c>
      <c r="C68" s="1936" t="s">
        <v>27</v>
      </c>
      <c r="D68" s="1559" t="s">
        <v>63</v>
      </c>
      <c r="E68" s="2047"/>
      <c r="F68" s="1776">
        <v>4.0</v>
      </c>
      <c r="G68" s="1777" t="s">
        <v>73</v>
      </c>
      <c r="H68" s="1597" t="s">
        <v>122</v>
      </c>
    </row>
    <row r="69">
      <c r="A69" s="33"/>
      <c r="B69" s="142"/>
      <c r="C69" s="2048" t="s">
        <v>176</v>
      </c>
      <c r="D69" s="1467" t="s">
        <v>500</v>
      </c>
      <c r="E69" s="1768"/>
      <c r="F69" s="1588">
        <v>4.0</v>
      </c>
      <c r="G69" s="509" t="s">
        <v>73</v>
      </c>
      <c r="H69" s="142"/>
    </row>
    <row r="70">
      <c r="A70" s="33"/>
      <c r="B70" s="142"/>
      <c r="C70" s="2089" t="s">
        <v>31</v>
      </c>
      <c r="D70" s="417" t="s">
        <v>71</v>
      </c>
      <c r="E70" s="1615"/>
      <c r="F70" s="357">
        <v>4.0</v>
      </c>
      <c r="G70" s="409" t="s">
        <v>73</v>
      </c>
      <c r="H70" s="142"/>
    </row>
    <row r="71">
      <c r="A71" s="56"/>
      <c r="B71" s="182"/>
      <c r="C71" s="2090" t="s">
        <v>38</v>
      </c>
      <c r="D71" s="2091" t="s">
        <v>39</v>
      </c>
      <c r="E71" s="2092"/>
      <c r="F71" s="2093">
        <v>3.0</v>
      </c>
      <c r="G71" s="2094" t="s">
        <v>73</v>
      </c>
      <c r="H71" s="182"/>
    </row>
    <row r="72">
      <c r="B72" s="2095"/>
    </row>
    <row r="74">
      <c r="A74" s="1" t="s">
        <v>412</v>
      </c>
    </row>
    <row r="76">
      <c r="A76" s="2050" t="s">
        <v>10</v>
      </c>
      <c r="B76" s="2051" t="s">
        <v>11</v>
      </c>
      <c r="C76" s="2052" t="s">
        <v>12</v>
      </c>
      <c r="D76" s="2052" t="s">
        <v>13</v>
      </c>
      <c r="E76" s="2052" t="s">
        <v>14</v>
      </c>
      <c r="F76" s="1455" t="s">
        <v>15</v>
      </c>
      <c r="G76" s="2052" t="s">
        <v>16</v>
      </c>
      <c r="H76" s="2051" t="s">
        <v>17</v>
      </c>
    </row>
    <row r="77">
      <c r="A77" s="341" t="s">
        <v>58</v>
      </c>
      <c r="B77" s="1585">
        <v>46014.0</v>
      </c>
      <c r="C77" s="2023" t="s">
        <v>27</v>
      </c>
      <c r="D77" s="2096" t="s">
        <v>63</v>
      </c>
      <c r="E77" s="1613"/>
      <c r="F77" s="346">
        <v>4.0</v>
      </c>
      <c r="G77" s="298" t="s">
        <v>73</v>
      </c>
      <c r="H77" s="1597" t="s">
        <v>122</v>
      </c>
    </row>
    <row r="78">
      <c r="A78" s="33"/>
      <c r="B78" s="142"/>
      <c r="C78" s="2024" t="s">
        <v>176</v>
      </c>
      <c r="D78" s="2097" t="s">
        <v>71</v>
      </c>
      <c r="E78" s="1839"/>
      <c r="F78" s="357">
        <v>4.0</v>
      </c>
      <c r="G78" s="409" t="s">
        <v>73</v>
      </c>
      <c r="H78" s="142"/>
    </row>
    <row r="79">
      <c r="A79" s="33"/>
      <c r="B79" s="142"/>
      <c r="C79" s="2025" t="s">
        <v>48</v>
      </c>
      <c r="D79" s="2098" t="s">
        <v>92</v>
      </c>
      <c r="E79" s="2027"/>
      <c r="F79" s="2028">
        <v>4.0</v>
      </c>
      <c r="G79" s="2029" t="s">
        <v>73</v>
      </c>
      <c r="H79" s="142"/>
    </row>
    <row r="80">
      <c r="A80" s="56"/>
      <c r="B80" s="182"/>
      <c r="C80" s="2099" t="s">
        <v>38</v>
      </c>
      <c r="D80" s="2100" t="s">
        <v>43</v>
      </c>
      <c r="E80" s="2101"/>
      <c r="F80" s="366">
        <v>3.0</v>
      </c>
      <c r="G80" s="2102" t="s">
        <v>73</v>
      </c>
      <c r="H80" s="182"/>
    </row>
    <row r="81">
      <c r="A81" s="341" t="s">
        <v>62</v>
      </c>
      <c r="B81" s="1585">
        <v>46015.0</v>
      </c>
      <c r="C81" s="2103" t="s">
        <v>418</v>
      </c>
      <c r="D81" s="2104" t="s">
        <v>67</v>
      </c>
      <c r="E81" s="1686"/>
      <c r="F81" s="1687">
        <v>3.0</v>
      </c>
      <c r="G81" s="339" t="s">
        <v>73</v>
      </c>
      <c r="H81" s="1597" t="s">
        <v>527</v>
      </c>
    </row>
    <row r="82">
      <c r="A82" s="33"/>
      <c r="B82" s="142"/>
      <c r="C82" s="2105" t="s">
        <v>462</v>
      </c>
      <c r="D82" s="2106" t="s">
        <v>43</v>
      </c>
      <c r="E82" s="2107"/>
      <c r="F82" s="2108">
        <v>4.0</v>
      </c>
      <c r="G82" s="2109" t="s">
        <v>73</v>
      </c>
      <c r="H82" s="142"/>
    </row>
    <row r="83">
      <c r="A83" s="56"/>
      <c r="B83" s="182"/>
      <c r="C83" s="2110" t="s">
        <v>432</v>
      </c>
      <c r="D83" s="2111" t="s">
        <v>63</v>
      </c>
      <c r="E83" s="2112" t="s">
        <v>145</v>
      </c>
      <c r="F83" s="2113">
        <v>6.0</v>
      </c>
      <c r="G83" s="2114" t="s">
        <v>73</v>
      </c>
      <c r="H83" s="1935" t="s">
        <v>74</v>
      </c>
    </row>
    <row r="84">
      <c r="A84" s="341" t="s">
        <v>77</v>
      </c>
      <c r="B84" s="1585">
        <v>46016.0</v>
      </c>
      <c r="C84" s="2023" t="s">
        <v>27</v>
      </c>
      <c r="D84" s="2096" t="s">
        <v>63</v>
      </c>
      <c r="E84" s="1613"/>
      <c r="F84" s="346">
        <v>4.0</v>
      </c>
      <c r="G84" s="298" t="s">
        <v>73</v>
      </c>
      <c r="H84" s="1597" t="s">
        <v>403</v>
      </c>
    </row>
    <row r="85">
      <c r="A85" s="33"/>
      <c r="B85" s="142"/>
      <c r="C85" s="2115" t="s">
        <v>176</v>
      </c>
      <c r="D85" s="2116" t="s">
        <v>499</v>
      </c>
      <c r="E85" s="1880"/>
      <c r="F85" s="1857">
        <v>4.0</v>
      </c>
      <c r="G85" s="1548" t="s">
        <v>73</v>
      </c>
      <c r="H85" s="142"/>
      <c r="I85" s="241" t="s">
        <v>528</v>
      </c>
    </row>
    <row r="86">
      <c r="A86" s="33"/>
      <c r="B86" s="142"/>
      <c r="C86" s="1940" t="s">
        <v>48</v>
      </c>
      <c r="D86" s="2117" t="s">
        <v>43</v>
      </c>
      <c r="E86" s="418"/>
      <c r="F86" s="1599">
        <v>4.0</v>
      </c>
      <c r="G86" s="305" t="s">
        <v>73</v>
      </c>
      <c r="H86" s="142"/>
    </row>
    <row r="87">
      <c r="A87" s="56"/>
      <c r="B87" s="182"/>
      <c r="C87" s="2118" t="s">
        <v>38</v>
      </c>
      <c r="D87" s="2119" t="s">
        <v>499</v>
      </c>
      <c r="E87" s="431"/>
      <c r="F87" s="1669">
        <v>3.0</v>
      </c>
      <c r="G87" s="315" t="s">
        <v>73</v>
      </c>
      <c r="H87" s="182"/>
    </row>
    <row r="88">
      <c r="A88" s="341" t="s">
        <v>26</v>
      </c>
      <c r="B88" s="1585">
        <v>46017.0</v>
      </c>
      <c r="C88" s="2036" t="s">
        <v>27</v>
      </c>
      <c r="D88" s="2096" t="s">
        <v>63</v>
      </c>
      <c r="E88" s="1789"/>
      <c r="F88" s="346">
        <v>4.0</v>
      </c>
      <c r="G88" s="298" t="s">
        <v>73</v>
      </c>
      <c r="H88" s="1597" t="s">
        <v>122</v>
      </c>
    </row>
    <row r="89">
      <c r="A89" s="33"/>
      <c r="B89" s="142"/>
      <c r="C89" s="2025" t="s">
        <v>216</v>
      </c>
      <c r="D89" s="2098" t="s">
        <v>92</v>
      </c>
      <c r="E89" s="2120"/>
      <c r="F89" s="2028">
        <v>3.0</v>
      </c>
      <c r="G89" s="2029" t="s">
        <v>73</v>
      </c>
      <c r="H89" s="142"/>
    </row>
    <row r="90">
      <c r="A90" s="33"/>
      <c r="B90" s="142"/>
      <c r="C90" s="1940" t="s">
        <v>155</v>
      </c>
      <c r="D90" s="2117" t="s">
        <v>43</v>
      </c>
      <c r="E90" s="418"/>
      <c r="F90" s="1599">
        <v>4.0</v>
      </c>
      <c r="G90" s="305" t="s">
        <v>73</v>
      </c>
      <c r="H90" s="142"/>
    </row>
    <row r="91">
      <c r="A91" s="56"/>
      <c r="B91" s="182"/>
      <c r="C91" s="2030" t="s">
        <v>157</v>
      </c>
      <c r="D91" s="2121" t="s">
        <v>36</v>
      </c>
      <c r="E91" s="1725"/>
      <c r="F91" s="1726">
        <v>4.0</v>
      </c>
      <c r="G91" s="1727" t="s">
        <v>73</v>
      </c>
      <c r="H91" s="182"/>
    </row>
    <row r="92">
      <c r="A92" s="341" t="s">
        <v>41</v>
      </c>
      <c r="B92" s="1585">
        <v>46018.0</v>
      </c>
      <c r="C92" s="2122" t="s">
        <v>27</v>
      </c>
      <c r="D92" s="2123" t="s">
        <v>92</v>
      </c>
      <c r="E92" s="2124"/>
      <c r="F92" s="2125">
        <v>4.0</v>
      </c>
      <c r="G92" s="2126" t="s">
        <v>73</v>
      </c>
      <c r="H92" s="1597" t="s">
        <v>122</v>
      </c>
      <c r="I92" s="241" t="s">
        <v>529</v>
      </c>
    </row>
    <row r="93">
      <c r="A93" s="33"/>
      <c r="B93" s="142"/>
      <c r="C93" s="2037" t="s">
        <v>176</v>
      </c>
      <c r="D93" s="2117" t="s">
        <v>43</v>
      </c>
      <c r="E93" s="1688"/>
      <c r="F93" s="1599">
        <v>4.0</v>
      </c>
      <c r="G93" s="305" t="s">
        <v>73</v>
      </c>
      <c r="H93" s="142"/>
    </row>
    <row r="94">
      <c r="A94" s="33"/>
      <c r="B94" s="142"/>
      <c r="C94" s="2127" t="s">
        <v>31</v>
      </c>
      <c r="D94" s="2116" t="s">
        <v>525</v>
      </c>
      <c r="E94" s="1856"/>
      <c r="F94" s="1857">
        <v>4.0</v>
      </c>
      <c r="G94" s="1548" t="s">
        <v>73</v>
      </c>
      <c r="H94" s="142"/>
    </row>
    <row r="95">
      <c r="A95" s="56"/>
      <c r="B95" s="182"/>
      <c r="C95" s="2118" t="s">
        <v>38</v>
      </c>
      <c r="D95" s="2119" t="s">
        <v>127</v>
      </c>
      <c r="E95" s="431"/>
      <c r="F95" s="1669">
        <v>3.0</v>
      </c>
      <c r="G95" s="315" t="s">
        <v>73</v>
      </c>
      <c r="H95" s="182"/>
    </row>
    <row r="96">
      <c r="A96" s="341" t="s">
        <v>45</v>
      </c>
      <c r="B96" s="1585">
        <v>46019.0</v>
      </c>
      <c r="C96" s="2036" t="s">
        <v>27</v>
      </c>
      <c r="D96" s="2096" t="s">
        <v>63</v>
      </c>
      <c r="E96" s="1789"/>
      <c r="F96" s="346">
        <v>4.0</v>
      </c>
      <c r="G96" s="298" t="s">
        <v>73</v>
      </c>
      <c r="H96" s="1597" t="s">
        <v>122</v>
      </c>
    </row>
    <row r="97">
      <c r="A97" s="33"/>
      <c r="B97" s="142"/>
      <c r="C97" s="2037" t="s">
        <v>176</v>
      </c>
      <c r="D97" s="2117" t="s">
        <v>43</v>
      </c>
      <c r="E97" s="1688"/>
      <c r="F97" s="1599">
        <v>4.0</v>
      </c>
      <c r="G97" s="305" t="s">
        <v>73</v>
      </c>
      <c r="H97" s="142"/>
    </row>
    <row r="98">
      <c r="A98" s="33"/>
      <c r="B98" s="142"/>
      <c r="C98" s="2040" t="s">
        <v>31</v>
      </c>
      <c r="D98" s="2128" t="s">
        <v>36</v>
      </c>
      <c r="E98" s="1652"/>
      <c r="F98" s="1653">
        <v>4.0</v>
      </c>
      <c r="G98" s="1654" t="s">
        <v>73</v>
      </c>
      <c r="H98" s="142"/>
    </row>
    <row r="99">
      <c r="A99" s="56"/>
      <c r="B99" s="182"/>
      <c r="C99" s="2039" t="s">
        <v>38</v>
      </c>
      <c r="D99" s="2129" t="s">
        <v>92</v>
      </c>
      <c r="E99" s="2020"/>
      <c r="F99" s="2021">
        <v>3.0</v>
      </c>
      <c r="G99" s="2022" t="s">
        <v>73</v>
      </c>
      <c r="H99" s="182"/>
    </row>
    <row r="102">
      <c r="A102" s="1" t="s">
        <v>419</v>
      </c>
    </row>
    <row r="104">
      <c r="A104" s="2050" t="s">
        <v>10</v>
      </c>
      <c r="B104" s="2051" t="s">
        <v>11</v>
      </c>
      <c r="C104" s="8" t="s">
        <v>12</v>
      </c>
      <c r="D104" s="9" t="s">
        <v>13</v>
      </c>
      <c r="E104" s="9" t="s">
        <v>14</v>
      </c>
      <c r="F104" s="10" t="s">
        <v>15</v>
      </c>
      <c r="G104" s="9" t="s">
        <v>16</v>
      </c>
      <c r="H104" s="1452" t="s">
        <v>17</v>
      </c>
    </row>
    <row r="105">
      <c r="A105" s="341" t="s">
        <v>55</v>
      </c>
      <c r="B105" s="1585">
        <v>46020.0</v>
      </c>
      <c r="C105" s="2037" t="s">
        <v>27</v>
      </c>
      <c r="D105" s="1678" t="s">
        <v>43</v>
      </c>
      <c r="E105" s="2130"/>
      <c r="F105" s="2131">
        <v>4.0</v>
      </c>
      <c r="G105" s="1644" t="s">
        <v>73</v>
      </c>
      <c r="H105" s="1597" t="s">
        <v>122</v>
      </c>
      <c r="I105" s="241" t="s">
        <v>530</v>
      </c>
    </row>
    <row r="106">
      <c r="A106" s="33"/>
      <c r="B106" s="142"/>
      <c r="C106" s="2048" t="s">
        <v>176</v>
      </c>
      <c r="D106" s="1467" t="s">
        <v>500</v>
      </c>
      <c r="E106" s="1768"/>
      <c r="F106" s="1588">
        <v>4.0</v>
      </c>
      <c r="G106" s="509" t="s">
        <v>73</v>
      </c>
      <c r="H106" s="142"/>
    </row>
    <row r="107">
      <c r="A107" s="33"/>
      <c r="B107" s="142"/>
      <c r="C107" s="2025" t="s">
        <v>31</v>
      </c>
      <c r="D107" s="2026" t="s">
        <v>39</v>
      </c>
      <c r="E107" s="2027"/>
      <c r="F107" s="2028">
        <v>4.0</v>
      </c>
      <c r="G107" s="2029" t="s">
        <v>73</v>
      </c>
      <c r="H107" s="142"/>
    </row>
    <row r="108">
      <c r="A108" s="56"/>
      <c r="B108" s="182"/>
      <c r="C108" s="2118" t="s">
        <v>38</v>
      </c>
      <c r="D108" s="1668" t="s">
        <v>499</v>
      </c>
      <c r="E108" s="431"/>
      <c r="F108" s="1669">
        <v>3.0</v>
      </c>
      <c r="G108" s="315" t="s">
        <v>73</v>
      </c>
      <c r="H108" s="182"/>
    </row>
    <row r="109">
      <c r="A109" s="341" t="s">
        <v>58</v>
      </c>
      <c r="B109" s="1585">
        <v>46021.0</v>
      </c>
      <c r="C109" s="2037" t="s">
        <v>27</v>
      </c>
      <c r="D109" s="1678" t="s">
        <v>43</v>
      </c>
      <c r="E109" s="2130"/>
      <c r="F109" s="2131">
        <v>4.0</v>
      </c>
      <c r="G109" s="1644" t="s">
        <v>73</v>
      </c>
      <c r="H109" s="1597" t="s">
        <v>122</v>
      </c>
    </row>
    <row r="110">
      <c r="A110" s="33"/>
      <c r="B110" s="142"/>
      <c r="C110" s="2048" t="s">
        <v>176</v>
      </c>
      <c r="D110" s="1467" t="s">
        <v>500</v>
      </c>
      <c r="E110" s="1768"/>
      <c r="F110" s="1588">
        <v>4.0</v>
      </c>
      <c r="G110" s="509" t="s">
        <v>73</v>
      </c>
      <c r="H110" s="142"/>
    </row>
    <row r="111">
      <c r="A111" s="33"/>
      <c r="B111" s="142"/>
      <c r="C111" s="2025" t="s">
        <v>31</v>
      </c>
      <c r="D111" s="2026" t="s">
        <v>39</v>
      </c>
      <c r="E111" s="2027"/>
      <c r="F111" s="2028">
        <v>4.0</v>
      </c>
      <c r="G111" s="2029" t="s">
        <v>73</v>
      </c>
      <c r="H111" s="142"/>
    </row>
    <row r="112">
      <c r="A112" s="56"/>
      <c r="B112" s="182"/>
      <c r="C112" s="2118" t="s">
        <v>38</v>
      </c>
      <c r="D112" s="1668" t="s">
        <v>120</v>
      </c>
      <c r="E112" s="431"/>
      <c r="F112" s="1669">
        <v>3.0</v>
      </c>
      <c r="G112" s="315" t="s">
        <v>73</v>
      </c>
      <c r="H112" s="182"/>
    </row>
    <row r="113">
      <c r="A113" s="341" t="s">
        <v>62</v>
      </c>
      <c r="B113" s="1585">
        <v>46022.0</v>
      </c>
      <c r="C113" s="2132" t="s">
        <v>151</v>
      </c>
      <c r="D113" s="1678" t="s">
        <v>43</v>
      </c>
      <c r="E113" s="1560" t="s">
        <v>523</v>
      </c>
      <c r="F113" s="1680">
        <v>3.0</v>
      </c>
      <c r="G113" s="1644" t="s">
        <v>73</v>
      </c>
      <c r="H113" s="1492" t="s">
        <v>74</v>
      </c>
    </row>
    <row r="114">
      <c r="A114" s="56"/>
      <c r="B114" s="182"/>
      <c r="C114" s="2133" t="s">
        <v>392</v>
      </c>
      <c r="D114" s="1618" t="s">
        <v>503</v>
      </c>
      <c r="E114" s="80"/>
      <c r="F114" s="2134">
        <v>3.0</v>
      </c>
      <c r="G114" s="1605" t="s">
        <v>73</v>
      </c>
      <c r="H114" s="182"/>
    </row>
    <row r="115">
      <c r="A115" s="341" t="s">
        <v>26</v>
      </c>
      <c r="B115" s="1585">
        <v>45659.0</v>
      </c>
      <c r="C115" s="2036" t="s">
        <v>27</v>
      </c>
      <c r="D115" s="2096" t="s">
        <v>63</v>
      </c>
      <c r="E115" s="1789"/>
      <c r="F115" s="346">
        <v>4.0</v>
      </c>
      <c r="G115" s="298" t="s">
        <v>73</v>
      </c>
      <c r="H115" s="1597" t="s">
        <v>122</v>
      </c>
    </row>
    <row r="116">
      <c r="A116" s="33"/>
      <c r="B116" s="142"/>
      <c r="C116" s="2135" t="s">
        <v>40</v>
      </c>
      <c r="D116" s="2136" t="s">
        <v>503</v>
      </c>
      <c r="E116" s="2137"/>
      <c r="F116" s="2138">
        <v>4.0</v>
      </c>
      <c r="G116" s="1582" t="s">
        <v>73</v>
      </c>
      <c r="H116" s="142"/>
      <c r="I116" s="241" t="s">
        <v>435</v>
      </c>
    </row>
    <row r="117">
      <c r="A117" s="33"/>
      <c r="B117" s="142"/>
      <c r="C117" s="2139" t="s">
        <v>48</v>
      </c>
      <c r="D117" s="2140" t="s">
        <v>39</v>
      </c>
      <c r="E117" s="402"/>
      <c r="F117" s="1590">
        <v>4.0</v>
      </c>
      <c r="G117" s="312" t="s">
        <v>73</v>
      </c>
      <c r="H117" s="142"/>
    </row>
    <row r="118">
      <c r="A118" s="56"/>
      <c r="B118" s="182"/>
      <c r="C118" s="2118" t="s">
        <v>38</v>
      </c>
      <c r="D118" s="2141"/>
      <c r="E118" s="431"/>
      <c r="F118" s="1669">
        <v>3.0</v>
      </c>
      <c r="G118" s="315" t="s">
        <v>73</v>
      </c>
      <c r="H118" s="182"/>
    </row>
    <row r="119">
      <c r="A119" s="341" t="s">
        <v>41</v>
      </c>
      <c r="B119" s="1585">
        <v>45660.0</v>
      </c>
      <c r="C119" s="2036" t="s">
        <v>27</v>
      </c>
      <c r="D119" s="2096" t="s">
        <v>63</v>
      </c>
      <c r="E119" s="1789"/>
      <c r="F119" s="346">
        <v>4.0</v>
      </c>
      <c r="G119" s="298" t="s">
        <v>73</v>
      </c>
      <c r="H119" s="1597" t="s">
        <v>122</v>
      </c>
    </row>
    <row r="120">
      <c r="A120" s="33"/>
      <c r="B120" s="142"/>
      <c r="C120" s="2048" t="s">
        <v>176</v>
      </c>
      <c r="D120" s="2142" t="s">
        <v>500</v>
      </c>
      <c r="E120" s="1768"/>
      <c r="F120" s="1588">
        <v>4.0</v>
      </c>
      <c r="G120" s="509" t="s">
        <v>73</v>
      </c>
      <c r="H120" s="142"/>
      <c r="I120" s="241" t="s">
        <v>531</v>
      </c>
    </row>
    <row r="121">
      <c r="A121" s="33"/>
      <c r="B121" s="142"/>
      <c r="C121" s="2139" t="s">
        <v>31</v>
      </c>
      <c r="D121" s="2140" t="s">
        <v>39</v>
      </c>
      <c r="E121" s="402"/>
      <c r="F121" s="1590">
        <v>4.0</v>
      </c>
      <c r="G121" s="312" t="s">
        <v>73</v>
      </c>
      <c r="H121" s="142"/>
    </row>
    <row r="122">
      <c r="A122" s="56"/>
      <c r="B122" s="182"/>
      <c r="C122" s="2099" t="s">
        <v>38</v>
      </c>
      <c r="D122" s="2143" t="s">
        <v>43</v>
      </c>
      <c r="E122" s="2101"/>
      <c r="F122" s="366">
        <v>3.0</v>
      </c>
      <c r="G122" s="2102" t="s">
        <v>73</v>
      </c>
      <c r="H122" s="182"/>
    </row>
    <row r="123">
      <c r="A123" s="341" t="s">
        <v>45</v>
      </c>
      <c r="B123" s="1585">
        <v>45661.0</v>
      </c>
      <c r="C123" s="2024" t="s">
        <v>27</v>
      </c>
      <c r="D123" s="2144" t="s">
        <v>71</v>
      </c>
      <c r="E123" s="1948"/>
      <c r="F123" s="1657">
        <v>4.0</v>
      </c>
      <c r="G123" s="478" t="s">
        <v>73</v>
      </c>
      <c r="H123" s="1597" t="s">
        <v>122</v>
      </c>
    </row>
    <row r="124">
      <c r="A124" s="33"/>
      <c r="B124" s="142"/>
      <c r="C124" s="2037" t="s">
        <v>176</v>
      </c>
      <c r="D124" s="2145" t="s">
        <v>43</v>
      </c>
      <c r="E124" s="1688"/>
      <c r="F124" s="1599">
        <v>4.0</v>
      </c>
      <c r="G124" s="305" t="s">
        <v>73</v>
      </c>
      <c r="H124" s="142"/>
      <c r="I124" s="241" t="s">
        <v>532</v>
      </c>
    </row>
    <row r="125">
      <c r="A125" s="33"/>
      <c r="B125" s="142"/>
      <c r="C125" s="2139" t="s">
        <v>31</v>
      </c>
      <c r="D125" s="2140" t="s">
        <v>39</v>
      </c>
      <c r="E125" s="402"/>
      <c r="F125" s="1590">
        <v>4.0</v>
      </c>
      <c r="G125" s="312" t="s">
        <v>73</v>
      </c>
      <c r="H125" s="142"/>
    </row>
    <row r="126">
      <c r="A126" s="56"/>
      <c r="B126" s="182"/>
      <c r="C126" s="2118" t="s">
        <v>38</v>
      </c>
      <c r="D126" s="2119"/>
      <c r="E126" s="431"/>
      <c r="F126" s="1669">
        <v>3.0</v>
      </c>
      <c r="G126" s="315" t="s">
        <v>73</v>
      </c>
      <c r="H126" s="182"/>
    </row>
  </sheetData>
  <mergeCells count="94">
    <mergeCell ref="A57:A58"/>
    <mergeCell ref="B57:B58"/>
    <mergeCell ref="A59:A62"/>
    <mergeCell ref="B59:B62"/>
    <mergeCell ref="A63:A67"/>
    <mergeCell ref="B63:B67"/>
    <mergeCell ref="A68:A71"/>
    <mergeCell ref="B88:B91"/>
    <mergeCell ref="B92:B95"/>
    <mergeCell ref="B96:B99"/>
    <mergeCell ref="A102:B103"/>
    <mergeCell ref="B105:B108"/>
    <mergeCell ref="B109:B112"/>
    <mergeCell ref="B113:B114"/>
    <mergeCell ref="B115:B118"/>
    <mergeCell ref="B68:B71"/>
    <mergeCell ref="A74:B75"/>
    <mergeCell ref="A77:A80"/>
    <mergeCell ref="B77:B80"/>
    <mergeCell ref="A81:A83"/>
    <mergeCell ref="B81:B83"/>
    <mergeCell ref="B84:B87"/>
    <mergeCell ref="A115:A118"/>
    <mergeCell ref="A119:A122"/>
    <mergeCell ref="B119:B122"/>
    <mergeCell ref="A123:A126"/>
    <mergeCell ref="B123:B126"/>
    <mergeCell ref="A84:A87"/>
    <mergeCell ref="A88:A91"/>
    <mergeCell ref="A92:A95"/>
    <mergeCell ref="A96:A99"/>
    <mergeCell ref="A105:A108"/>
    <mergeCell ref="A109:A112"/>
    <mergeCell ref="A113:A114"/>
    <mergeCell ref="H115:H118"/>
    <mergeCell ref="H119:H122"/>
    <mergeCell ref="H123:H126"/>
    <mergeCell ref="H88:H91"/>
    <mergeCell ref="H92:H95"/>
    <mergeCell ref="H96:H99"/>
    <mergeCell ref="H105:H108"/>
    <mergeCell ref="H109:H112"/>
    <mergeCell ref="E113:E114"/>
    <mergeCell ref="H113:H114"/>
    <mergeCell ref="A1:B2"/>
    <mergeCell ref="A4:A7"/>
    <mergeCell ref="B4:B7"/>
    <mergeCell ref="H4:H7"/>
    <mergeCell ref="A8:A11"/>
    <mergeCell ref="B8:B11"/>
    <mergeCell ref="H8:H11"/>
    <mergeCell ref="B12:B13"/>
    <mergeCell ref="C12:C13"/>
    <mergeCell ref="D12:D13"/>
    <mergeCell ref="E12:E13"/>
    <mergeCell ref="F12:F13"/>
    <mergeCell ref="G12:G13"/>
    <mergeCell ref="H12:H13"/>
    <mergeCell ref="A26:A29"/>
    <mergeCell ref="B26:B29"/>
    <mergeCell ref="A32:B33"/>
    <mergeCell ref="C35:H35"/>
    <mergeCell ref="A36:A37"/>
    <mergeCell ref="B36:B37"/>
    <mergeCell ref="E36:E37"/>
    <mergeCell ref="H36:H37"/>
    <mergeCell ref="A12:A13"/>
    <mergeCell ref="A14:A17"/>
    <mergeCell ref="B14:B17"/>
    <mergeCell ref="A18:A21"/>
    <mergeCell ref="B18:B21"/>
    <mergeCell ref="A22:A25"/>
    <mergeCell ref="B22:B25"/>
    <mergeCell ref="A38:A41"/>
    <mergeCell ref="B38:B41"/>
    <mergeCell ref="A42:A45"/>
    <mergeCell ref="B42:B45"/>
    <mergeCell ref="A48:B49"/>
    <mergeCell ref="A51:A56"/>
    <mergeCell ref="B51:B56"/>
    <mergeCell ref="H14:H17"/>
    <mergeCell ref="H18:H21"/>
    <mergeCell ref="H22:H25"/>
    <mergeCell ref="H26:H29"/>
    <mergeCell ref="H38:H41"/>
    <mergeCell ref="H42:H45"/>
    <mergeCell ref="H51:H56"/>
    <mergeCell ref="H57:H58"/>
    <mergeCell ref="H59:H62"/>
    <mergeCell ref="H63:H66"/>
    <mergeCell ref="H68:H71"/>
    <mergeCell ref="H77:H80"/>
    <mergeCell ref="H81:H82"/>
    <mergeCell ref="H84:H8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0"/>
    <col customWidth="1" min="3" max="3" width="16.75"/>
    <col customWidth="1" min="4" max="4" width="17.5"/>
    <col customWidth="1" min="5" max="5" width="15.13"/>
    <col customWidth="1" min="6" max="6" width="16.13"/>
    <col customWidth="1" min="7" max="7" width="16.5"/>
  </cols>
  <sheetData>
    <row r="1">
      <c r="A1" s="1793" t="s">
        <v>533</v>
      </c>
    </row>
    <row r="2">
      <c r="A2" s="1794" t="s">
        <v>455</v>
      </c>
      <c r="B2" s="1795" t="s">
        <v>4</v>
      </c>
      <c r="C2" s="1795" t="s">
        <v>456</v>
      </c>
      <c r="D2" s="1795" t="s">
        <v>15</v>
      </c>
      <c r="E2" s="2146" t="s">
        <v>457</v>
      </c>
      <c r="F2" s="2146" t="s">
        <v>458</v>
      </c>
      <c r="G2" s="1796" t="s">
        <v>459</v>
      </c>
    </row>
    <row r="3">
      <c r="A3" s="2003" t="s">
        <v>534</v>
      </c>
      <c r="B3" s="1797">
        <v>45992.0</v>
      </c>
      <c r="C3" s="1798" t="s">
        <v>151</v>
      </c>
      <c r="D3" s="1798">
        <v>3.0</v>
      </c>
      <c r="E3" s="2147">
        <v>200000.0</v>
      </c>
      <c r="F3" s="2147">
        <f t="shared" ref="F3:F49" si="1">D3*E3</f>
        <v>600000</v>
      </c>
      <c r="G3" s="2148">
        <f>sum(F3:F20)</f>
        <v>13400000</v>
      </c>
    </row>
    <row r="4">
      <c r="A4" s="33"/>
      <c r="B4" s="1802">
        <v>45994.0</v>
      </c>
      <c r="C4" s="1803" t="s">
        <v>432</v>
      </c>
      <c r="D4" s="1803">
        <v>6.0</v>
      </c>
      <c r="E4" s="2147">
        <v>200000.0</v>
      </c>
      <c r="F4" s="2147">
        <f t="shared" si="1"/>
        <v>1200000</v>
      </c>
      <c r="G4" s="51"/>
    </row>
    <row r="5">
      <c r="A5" s="33"/>
      <c r="B5" s="1802">
        <v>45995.0</v>
      </c>
      <c r="C5" s="1803" t="s">
        <v>40</v>
      </c>
      <c r="D5" s="1803">
        <v>4.0</v>
      </c>
      <c r="E5" s="2147">
        <v>200000.0</v>
      </c>
      <c r="F5" s="2147">
        <f t="shared" si="1"/>
        <v>800000</v>
      </c>
      <c r="G5" s="51"/>
    </row>
    <row r="6">
      <c r="A6" s="33"/>
      <c r="B6" s="1802">
        <v>45996.0</v>
      </c>
      <c r="C6" s="1803" t="s">
        <v>151</v>
      </c>
      <c r="D6" s="1803">
        <v>3.0</v>
      </c>
      <c r="E6" s="2147">
        <v>200000.0</v>
      </c>
      <c r="F6" s="2147">
        <f t="shared" si="1"/>
        <v>600000</v>
      </c>
      <c r="G6" s="51"/>
    </row>
    <row r="7">
      <c r="A7" s="33"/>
      <c r="B7" s="1802">
        <v>46002.0</v>
      </c>
      <c r="C7" s="1803" t="s">
        <v>31</v>
      </c>
      <c r="D7" s="1803">
        <v>4.0</v>
      </c>
      <c r="E7" s="2147">
        <v>200000.0</v>
      </c>
      <c r="F7" s="2147">
        <f t="shared" si="1"/>
        <v>800000</v>
      </c>
      <c r="G7" s="51"/>
    </row>
    <row r="8">
      <c r="A8" s="33"/>
      <c r="B8" s="1802">
        <v>46003.0</v>
      </c>
      <c r="C8" s="1803" t="s">
        <v>40</v>
      </c>
      <c r="D8" s="1803">
        <v>4.0</v>
      </c>
      <c r="E8" s="2147">
        <v>200000.0</v>
      </c>
      <c r="F8" s="2147">
        <f t="shared" si="1"/>
        <v>800000</v>
      </c>
      <c r="G8" s="51"/>
    </row>
    <row r="9">
      <c r="A9" s="33"/>
      <c r="B9" s="1802">
        <v>46007.0</v>
      </c>
      <c r="C9" s="1803" t="s">
        <v>535</v>
      </c>
      <c r="D9" s="1803">
        <v>4.0</v>
      </c>
      <c r="E9" s="2147">
        <v>200000.0</v>
      </c>
      <c r="F9" s="2147">
        <f t="shared" si="1"/>
        <v>800000</v>
      </c>
      <c r="G9" s="51"/>
    </row>
    <row r="10">
      <c r="A10" s="33"/>
      <c r="B10" s="1802">
        <v>46010.0</v>
      </c>
      <c r="C10" s="1803" t="s">
        <v>390</v>
      </c>
      <c r="D10" s="1803">
        <v>3.0</v>
      </c>
      <c r="E10" s="2147">
        <v>200000.0</v>
      </c>
      <c r="F10" s="2147">
        <f t="shared" si="1"/>
        <v>600000</v>
      </c>
      <c r="G10" s="51"/>
    </row>
    <row r="11">
      <c r="A11" s="33"/>
      <c r="B11" s="1802">
        <v>46014.0</v>
      </c>
      <c r="C11" s="1803" t="s">
        <v>38</v>
      </c>
      <c r="D11" s="1803">
        <v>3.0</v>
      </c>
      <c r="E11" s="2147">
        <v>200000.0</v>
      </c>
      <c r="F11" s="2147">
        <f t="shared" si="1"/>
        <v>600000</v>
      </c>
      <c r="G11" s="51"/>
    </row>
    <row r="12">
      <c r="A12" s="33"/>
      <c r="B12" s="1802">
        <v>46015.0</v>
      </c>
      <c r="C12" s="1803" t="s">
        <v>536</v>
      </c>
      <c r="D12" s="1803">
        <v>4.0</v>
      </c>
      <c r="E12" s="2147">
        <v>200000.0</v>
      </c>
      <c r="F12" s="2147">
        <f t="shared" si="1"/>
        <v>800000</v>
      </c>
      <c r="G12" s="51"/>
    </row>
    <row r="13">
      <c r="A13" s="33"/>
      <c r="B13" s="1802">
        <v>46380.0</v>
      </c>
      <c r="C13" s="1803" t="s">
        <v>537</v>
      </c>
      <c r="D13" s="1803">
        <v>2.0</v>
      </c>
      <c r="E13" s="2147">
        <v>200000.0</v>
      </c>
      <c r="F13" s="2147">
        <f t="shared" si="1"/>
        <v>400000</v>
      </c>
      <c r="G13" s="51"/>
    </row>
    <row r="14">
      <c r="A14" s="33"/>
      <c r="B14" s="1802">
        <v>46016.0</v>
      </c>
      <c r="C14" s="1803" t="s">
        <v>31</v>
      </c>
      <c r="D14" s="1803">
        <v>4.0</v>
      </c>
      <c r="E14" s="2147">
        <v>200000.0</v>
      </c>
      <c r="F14" s="2147">
        <f t="shared" si="1"/>
        <v>800000</v>
      </c>
      <c r="G14" s="51"/>
    </row>
    <row r="15">
      <c r="A15" s="33"/>
      <c r="B15" s="1802">
        <v>46017.0</v>
      </c>
      <c r="C15" s="1803" t="s">
        <v>155</v>
      </c>
      <c r="D15" s="1803">
        <v>4.0</v>
      </c>
      <c r="E15" s="2147">
        <v>200000.0</v>
      </c>
      <c r="F15" s="2147">
        <f t="shared" si="1"/>
        <v>800000</v>
      </c>
      <c r="G15" s="51"/>
    </row>
    <row r="16">
      <c r="A16" s="33"/>
      <c r="B16" s="1802">
        <v>46018.0</v>
      </c>
      <c r="C16" s="1803" t="s">
        <v>40</v>
      </c>
      <c r="D16" s="1803">
        <v>4.0</v>
      </c>
      <c r="E16" s="2147">
        <v>200000.0</v>
      </c>
      <c r="F16" s="2147">
        <f t="shared" si="1"/>
        <v>800000</v>
      </c>
      <c r="G16" s="51"/>
    </row>
    <row r="17">
      <c r="A17" s="33"/>
      <c r="B17" s="1802">
        <v>46019.0</v>
      </c>
      <c r="C17" s="1803" t="s">
        <v>40</v>
      </c>
      <c r="D17" s="1803">
        <v>4.0</v>
      </c>
      <c r="E17" s="2147">
        <v>200000.0</v>
      </c>
      <c r="F17" s="2147">
        <f t="shared" si="1"/>
        <v>800000</v>
      </c>
      <c r="G17" s="51"/>
    </row>
    <row r="18">
      <c r="A18" s="33"/>
      <c r="B18" s="1802">
        <v>46020.0</v>
      </c>
      <c r="C18" s="1803" t="s">
        <v>27</v>
      </c>
      <c r="D18" s="1803">
        <v>4.0</v>
      </c>
      <c r="E18" s="2147">
        <v>200000.0</v>
      </c>
      <c r="F18" s="2147">
        <f t="shared" si="1"/>
        <v>800000</v>
      </c>
      <c r="G18" s="51"/>
    </row>
    <row r="19">
      <c r="A19" s="33"/>
      <c r="B19" s="1802">
        <v>46021.0</v>
      </c>
      <c r="C19" s="1803" t="s">
        <v>27</v>
      </c>
      <c r="D19" s="1803">
        <v>4.0</v>
      </c>
      <c r="E19" s="2147">
        <v>200000.0</v>
      </c>
      <c r="F19" s="2147">
        <f t="shared" si="1"/>
        <v>800000</v>
      </c>
      <c r="G19" s="51"/>
    </row>
    <row r="20">
      <c r="A20" s="56"/>
      <c r="B20" s="1802">
        <v>46022.0</v>
      </c>
      <c r="C20" s="1803" t="s">
        <v>151</v>
      </c>
      <c r="D20" s="1803">
        <v>3.0</v>
      </c>
      <c r="E20" s="2149">
        <v>200000.0</v>
      </c>
      <c r="F20" s="2147">
        <f t="shared" si="1"/>
        <v>600000</v>
      </c>
      <c r="G20" s="69"/>
    </row>
    <row r="21">
      <c r="A21" s="2003" t="s">
        <v>538</v>
      </c>
      <c r="B21" s="1797">
        <v>45993.0</v>
      </c>
      <c r="C21" s="1798" t="s">
        <v>38</v>
      </c>
      <c r="D21" s="1798">
        <v>3.0</v>
      </c>
      <c r="E21" s="2150">
        <v>150000.0</v>
      </c>
      <c r="F21" s="2150">
        <f t="shared" si="1"/>
        <v>450000</v>
      </c>
      <c r="G21" s="2148">
        <f>sum(F21:F25)</f>
        <v>2700000</v>
      </c>
    </row>
    <row r="22">
      <c r="A22" s="33"/>
      <c r="B22" s="1802">
        <v>45997.0</v>
      </c>
      <c r="C22" s="1803" t="s">
        <v>31</v>
      </c>
      <c r="D22" s="1803">
        <v>4.0</v>
      </c>
      <c r="E22" s="2147">
        <v>150000.0</v>
      </c>
      <c r="F22" s="2147">
        <f t="shared" si="1"/>
        <v>600000</v>
      </c>
      <c r="G22" s="51"/>
    </row>
    <row r="23">
      <c r="A23" s="33"/>
      <c r="B23" s="1802">
        <v>46009.0</v>
      </c>
      <c r="C23" s="1803" t="s">
        <v>38</v>
      </c>
      <c r="D23" s="1803">
        <v>3.0</v>
      </c>
      <c r="E23" s="2147">
        <v>150000.0</v>
      </c>
      <c r="F23" s="2147">
        <f t="shared" si="1"/>
        <v>450000</v>
      </c>
      <c r="G23" s="51"/>
    </row>
    <row r="24" ht="20.25" customHeight="1">
      <c r="A24" s="33"/>
      <c r="B24" s="1806">
        <v>46017.0</v>
      </c>
      <c r="C24" s="1807" t="s">
        <v>157</v>
      </c>
      <c r="D24" s="1807">
        <v>4.0</v>
      </c>
      <c r="E24" s="2147">
        <v>150000.0</v>
      </c>
      <c r="F24" s="2147">
        <f t="shared" si="1"/>
        <v>600000</v>
      </c>
      <c r="G24" s="51"/>
    </row>
    <row r="25" ht="20.25" customHeight="1">
      <c r="A25" s="56"/>
      <c r="B25" s="1806">
        <v>46019.0</v>
      </c>
      <c r="C25" s="1807" t="s">
        <v>48</v>
      </c>
      <c r="D25" s="1807">
        <v>4.0</v>
      </c>
      <c r="E25" s="2147">
        <v>150000.0</v>
      </c>
      <c r="F25" s="2147">
        <f t="shared" si="1"/>
        <v>600000</v>
      </c>
      <c r="G25" s="69"/>
    </row>
    <row r="26">
      <c r="A26" s="2003" t="s">
        <v>508</v>
      </c>
      <c r="B26" s="1797">
        <v>45997.0</v>
      </c>
      <c r="C26" s="1798" t="s">
        <v>38</v>
      </c>
      <c r="D26" s="1798">
        <v>3.0</v>
      </c>
      <c r="E26" s="2150">
        <v>150000.0</v>
      </c>
      <c r="F26" s="2150">
        <f t="shared" si="1"/>
        <v>450000</v>
      </c>
      <c r="G26" s="2148">
        <f>sum(F26:F28)</f>
        <v>1500000</v>
      </c>
    </row>
    <row r="27">
      <c r="A27" s="33"/>
      <c r="B27" s="1802">
        <v>46010.0</v>
      </c>
      <c r="C27" s="1803" t="s">
        <v>157</v>
      </c>
      <c r="D27" s="1803">
        <v>4.0</v>
      </c>
      <c r="E27" s="2147">
        <v>150000.0</v>
      </c>
      <c r="F27" s="2147">
        <f t="shared" si="1"/>
        <v>600000</v>
      </c>
      <c r="G27" s="51"/>
    </row>
    <row r="28">
      <c r="A28" s="56"/>
      <c r="B28" s="1810">
        <v>46022.0</v>
      </c>
      <c r="C28" s="1811" t="s">
        <v>392</v>
      </c>
      <c r="D28" s="1811">
        <v>3.0</v>
      </c>
      <c r="E28" s="2147">
        <v>150000.0</v>
      </c>
      <c r="F28" s="2147">
        <f t="shared" si="1"/>
        <v>450000</v>
      </c>
      <c r="G28" s="69"/>
    </row>
    <row r="29">
      <c r="A29" s="2005" t="s">
        <v>39</v>
      </c>
      <c r="B29" s="1814">
        <v>45992.0</v>
      </c>
      <c r="C29" s="1815" t="s">
        <v>157</v>
      </c>
      <c r="D29" s="1815">
        <v>4.0</v>
      </c>
      <c r="E29" s="2150">
        <v>150000.0</v>
      </c>
      <c r="F29" s="2150">
        <f t="shared" si="1"/>
        <v>600000</v>
      </c>
      <c r="G29" s="2151">
        <f>sum(F29:F43)</f>
        <v>8362500</v>
      </c>
    </row>
    <row r="30">
      <c r="A30" s="33"/>
      <c r="B30" s="1802">
        <v>45993.0</v>
      </c>
      <c r="C30" s="1803" t="s">
        <v>48</v>
      </c>
      <c r="D30" s="1803">
        <v>4.0</v>
      </c>
      <c r="E30" s="2152">
        <v>150000.0</v>
      </c>
      <c r="F30" s="2152">
        <f t="shared" si="1"/>
        <v>600000</v>
      </c>
      <c r="G30" s="51"/>
    </row>
    <row r="31">
      <c r="A31" s="33"/>
      <c r="B31" s="1802">
        <v>45996.0</v>
      </c>
      <c r="C31" s="1803" t="s">
        <v>157</v>
      </c>
      <c r="D31" s="1803">
        <v>4.0</v>
      </c>
      <c r="E31" s="2152">
        <v>150000.0</v>
      </c>
      <c r="F31" s="2152">
        <f t="shared" si="1"/>
        <v>600000</v>
      </c>
      <c r="G31" s="51"/>
    </row>
    <row r="32">
      <c r="A32" s="33"/>
      <c r="B32" s="1802">
        <v>45998.0</v>
      </c>
      <c r="C32" s="1803" t="s">
        <v>539</v>
      </c>
      <c r="D32" s="1803">
        <v>7.0</v>
      </c>
      <c r="E32" s="2152">
        <v>150000.0</v>
      </c>
      <c r="F32" s="2152">
        <f t="shared" si="1"/>
        <v>1050000</v>
      </c>
      <c r="G32" s="51"/>
    </row>
    <row r="33">
      <c r="A33" s="33"/>
      <c r="B33" s="1802">
        <v>46001.0</v>
      </c>
      <c r="C33" s="1803" t="s">
        <v>392</v>
      </c>
      <c r="D33" s="1803">
        <v>3.0</v>
      </c>
      <c r="E33" s="2152">
        <v>150000.0</v>
      </c>
      <c r="F33" s="2152">
        <f t="shared" si="1"/>
        <v>450000</v>
      </c>
      <c r="G33" s="51"/>
    </row>
    <row r="34">
      <c r="A34" s="33"/>
      <c r="B34" s="1802">
        <v>46003.0</v>
      </c>
      <c r="C34" s="1803" t="s">
        <v>151</v>
      </c>
      <c r="D34" s="1803">
        <v>3.0</v>
      </c>
      <c r="E34" s="2152">
        <v>150000.0</v>
      </c>
      <c r="F34" s="2152">
        <f t="shared" si="1"/>
        <v>450000</v>
      </c>
      <c r="G34" s="51"/>
    </row>
    <row r="35">
      <c r="A35" s="33"/>
      <c r="B35" s="1802">
        <v>46007.0</v>
      </c>
      <c r="C35" s="1803" t="s">
        <v>106</v>
      </c>
      <c r="D35" s="1803">
        <v>4.0</v>
      </c>
      <c r="E35" s="2152">
        <v>150000.0</v>
      </c>
      <c r="F35" s="2152">
        <f t="shared" si="1"/>
        <v>600000</v>
      </c>
      <c r="G35" s="51"/>
    </row>
    <row r="36">
      <c r="A36" s="33"/>
      <c r="B36" s="1802">
        <v>46008.0</v>
      </c>
      <c r="C36" s="1803" t="s">
        <v>540</v>
      </c>
      <c r="D36" s="1803">
        <v>1.75</v>
      </c>
      <c r="E36" s="2152">
        <v>150000.0</v>
      </c>
      <c r="F36" s="2152">
        <f t="shared" si="1"/>
        <v>262500</v>
      </c>
      <c r="G36" s="51"/>
    </row>
    <row r="37">
      <c r="A37" s="33"/>
      <c r="B37" s="1802">
        <v>46012.0</v>
      </c>
      <c r="C37" s="1803" t="s">
        <v>38</v>
      </c>
      <c r="D37" s="1803">
        <v>3.0</v>
      </c>
      <c r="E37" s="2152">
        <v>150000.0</v>
      </c>
      <c r="F37" s="2152">
        <f t="shared" si="1"/>
        <v>450000</v>
      </c>
      <c r="G37" s="51"/>
    </row>
    <row r="38">
      <c r="A38" s="33"/>
      <c r="B38" s="1802">
        <v>46014.0</v>
      </c>
      <c r="C38" s="1803" t="s">
        <v>31</v>
      </c>
      <c r="D38" s="1803">
        <v>4.0</v>
      </c>
      <c r="E38" s="2152">
        <v>150000.0</v>
      </c>
      <c r="F38" s="2152">
        <f t="shared" si="1"/>
        <v>600000</v>
      </c>
      <c r="G38" s="51"/>
    </row>
    <row r="39">
      <c r="A39" s="33"/>
      <c r="B39" s="1802">
        <v>46017.0</v>
      </c>
      <c r="C39" s="1803" t="s">
        <v>216</v>
      </c>
      <c r="D39" s="1803">
        <v>3.0</v>
      </c>
      <c r="E39" s="2152">
        <v>150000.0</v>
      </c>
      <c r="F39" s="2152">
        <f t="shared" si="1"/>
        <v>450000</v>
      </c>
      <c r="G39" s="51"/>
    </row>
    <row r="40">
      <c r="A40" s="33"/>
      <c r="B40" s="1802">
        <v>46018.0</v>
      </c>
      <c r="C40" s="1803" t="s">
        <v>27</v>
      </c>
      <c r="D40" s="1803">
        <v>4.0</v>
      </c>
      <c r="E40" s="2152">
        <v>150000.0</v>
      </c>
      <c r="F40" s="2152">
        <f t="shared" si="1"/>
        <v>600000</v>
      </c>
      <c r="G40" s="51"/>
    </row>
    <row r="41">
      <c r="A41" s="33"/>
      <c r="B41" s="1802">
        <v>46019.0</v>
      </c>
      <c r="C41" s="1803" t="s">
        <v>38</v>
      </c>
      <c r="D41" s="1803">
        <v>3.0</v>
      </c>
      <c r="E41" s="2152">
        <v>150000.0</v>
      </c>
      <c r="F41" s="2152">
        <f t="shared" si="1"/>
        <v>450000</v>
      </c>
      <c r="G41" s="51"/>
    </row>
    <row r="42">
      <c r="A42" s="33"/>
      <c r="B42" s="2153">
        <v>46020.0</v>
      </c>
      <c r="C42" s="2154" t="s">
        <v>31</v>
      </c>
      <c r="D42" s="2154">
        <v>4.0</v>
      </c>
      <c r="E42" s="2152">
        <v>150000.0</v>
      </c>
      <c r="F42" s="2152">
        <f t="shared" si="1"/>
        <v>600000</v>
      </c>
      <c r="G42" s="51"/>
    </row>
    <row r="43">
      <c r="A43" s="56"/>
      <c r="B43" s="2153">
        <v>46021.0</v>
      </c>
      <c r="C43" s="2154" t="s">
        <v>31</v>
      </c>
      <c r="D43" s="2154">
        <v>4.0</v>
      </c>
      <c r="E43" s="2152">
        <v>150000.0</v>
      </c>
      <c r="F43" s="2152">
        <f t="shared" si="1"/>
        <v>600000</v>
      </c>
      <c r="G43" s="69"/>
    </row>
    <row r="44">
      <c r="A44" s="2003" t="s">
        <v>541</v>
      </c>
      <c r="B44" s="2155">
        <v>46002.0</v>
      </c>
      <c r="C44" s="1847" t="s">
        <v>176</v>
      </c>
      <c r="D44" s="1847">
        <v>4.0</v>
      </c>
      <c r="E44" s="2150">
        <v>130000.0</v>
      </c>
      <c r="F44" s="2150">
        <f t="shared" si="1"/>
        <v>520000</v>
      </c>
      <c r="G44" s="2148">
        <f>sum(F44:F48)</f>
        <v>2600000</v>
      </c>
    </row>
    <row r="45">
      <c r="A45" s="33"/>
      <c r="B45" s="1802">
        <v>46009.0</v>
      </c>
      <c r="C45" s="1803" t="s">
        <v>40</v>
      </c>
      <c r="D45" s="1803">
        <v>4.0</v>
      </c>
      <c r="E45" s="2152">
        <v>130000.0</v>
      </c>
      <c r="F45" s="2152">
        <f t="shared" si="1"/>
        <v>520000</v>
      </c>
      <c r="G45" s="51"/>
    </row>
    <row r="46">
      <c r="A46" s="33"/>
      <c r="B46" s="1802">
        <v>46012.0</v>
      </c>
      <c r="C46" s="1803" t="s">
        <v>40</v>
      </c>
      <c r="D46" s="1803">
        <v>4.0</v>
      </c>
      <c r="E46" s="2152">
        <v>130000.0</v>
      </c>
      <c r="F46" s="2152">
        <f t="shared" si="1"/>
        <v>520000</v>
      </c>
      <c r="G46" s="51"/>
    </row>
    <row r="47">
      <c r="A47" s="33"/>
      <c r="B47" s="1802">
        <v>46020.0</v>
      </c>
      <c r="C47" s="1803" t="s">
        <v>40</v>
      </c>
      <c r="D47" s="1803">
        <v>4.0</v>
      </c>
      <c r="E47" s="2152">
        <v>130000.0</v>
      </c>
      <c r="F47" s="2152">
        <f t="shared" si="1"/>
        <v>520000</v>
      </c>
      <c r="G47" s="51"/>
    </row>
    <row r="48">
      <c r="A48" s="56"/>
      <c r="B48" s="1810">
        <v>46021.0</v>
      </c>
      <c r="C48" s="1811" t="s">
        <v>40</v>
      </c>
      <c r="D48" s="1811">
        <v>4.0</v>
      </c>
      <c r="E48" s="2152">
        <v>130000.0</v>
      </c>
      <c r="F48" s="2152">
        <f t="shared" si="1"/>
        <v>520000</v>
      </c>
      <c r="G48" s="69"/>
    </row>
    <row r="49">
      <c r="A49" s="2003" t="s">
        <v>82</v>
      </c>
      <c r="B49" s="2156">
        <v>45992.0</v>
      </c>
      <c r="C49" s="2157" t="s">
        <v>40</v>
      </c>
      <c r="D49" s="2157">
        <v>4.0</v>
      </c>
      <c r="E49" s="2158">
        <v>230000.0</v>
      </c>
      <c r="F49" s="2159">
        <f t="shared" si="1"/>
        <v>920000</v>
      </c>
      <c r="G49" s="2148">
        <f>F49</f>
        <v>920000</v>
      </c>
    </row>
    <row r="50" ht="27.75" customHeight="1">
      <c r="A50" s="2160" t="s">
        <v>542</v>
      </c>
      <c r="B50" s="1507"/>
      <c r="C50" s="1507"/>
      <c r="D50" s="1507"/>
      <c r="E50" s="1507"/>
      <c r="F50" s="1508"/>
      <c r="G50" s="2161">
        <f>SUM(G2:G49)</f>
        <v>29482500</v>
      </c>
    </row>
    <row r="51">
      <c r="A51" s="1646"/>
      <c r="B51" s="1515"/>
      <c r="C51" s="1515"/>
      <c r="D51" s="1515"/>
      <c r="E51" s="1646"/>
      <c r="F51" s="1646"/>
      <c r="G51" s="1646"/>
    </row>
    <row r="52">
      <c r="A52" s="2017"/>
      <c r="B52" s="2017"/>
      <c r="C52" s="2017"/>
      <c r="D52" s="2017"/>
      <c r="E52" s="2017"/>
      <c r="F52" s="2017"/>
      <c r="G52" s="2017"/>
    </row>
    <row r="53">
      <c r="A53" s="2017" t="s">
        <v>513</v>
      </c>
      <c r="C53" s="2017" t="s">
        <v>514</v>
      </c>
      <c r="F53" s="2017" t="s">
        <v>466</v>
      </c>
    </row>
    <row r="54">
      <c r="A54" s="1646"/>
      <c r="B54" s="1515"/>
      <c r="C54" s="1515"/>
      <c r="D54" s="1515"/>
      <c r="E54" s="1646"/>
      <c r="F54" s="1646"/>
      <c r="G54" s="1646"/>
    </row>
    <row r="55">
      <c r="A55" s="1646"/>
      <c r="B55" s="1515"/>
      <c r="C55" s="1515"/>
      <c r="D55" s="1515"/>
      <c r="E55" s="1646"/>
      <c r="F55" s="1646"/>
      <c r="G55" s="1646"/>
    </row>
    <row r="56">
      <c r="A56" s="1646"/>
      <c r="B56" s="1515"/>
      <c r="C56" s="1515"/>
      <c r="D56" s="1515"/>
      <c r="E56" s="1646"/>
      <c r="F56" s="1646"/>
      <c r="G56" s="1646"/>
    </row>
    <row r="57">
      <c r="B57" s="1838"/>
      <c r="C57" s="1838"/>
      <c r="D57" s="1838"/>
    </row>
    <row r="58">
      <c r="B58" s="1838"/>
      <c r="C58" s="1838"/>
      <c r="D58" s="1838"/>
    </row>
    <row r="59">
      <c r="B59" s="1838"/>
      <c r="C59" s="1838"/>
      <c r="D59" s="1838"/>
    </row>
    <row r="60">
      <c r="B60" s="1838"/>
      <c r="C60" s="1838"/>
      <c r="D60" s="1838"/>
    </row>
    <row r="61">
      <c r="B61" s="1838"/>
      <c r="C61" s="1838"/>
      <c r="D61" s="1838"/>
    </row>
    <row r="62">
      <c r="B62" s="1838"/>
      <c r="C62" s="1838"/>
      <c r="D62" s="1838"/>
    </row>
    <row r="63">
      <c r="B63" s="1838"/>
      <c r="C63" s="1838"/>
      <c r="D63" s="1838"/>
    </row>
    <row r="64">
      <c r="B64" s="1838"/>
      <c r="C64" s="1838"/>
      <c r="D64" s="1838"/>
    </row>
    <row r="65">
      <c r="B65" s="1838"/>
      <c r="C65" s="1838"/>
      <c r="D65" s="1838"/>
    </row>
  </sheetData>
  <mergeCells count="15">
    <mergeCell ref="G26:G28"/>
    <mergeCell ref="G29:G43"/>
    <mergeCell ref="G21:G25"/>
    <mergeCell ref="G44:G48"/>
    <mergeCell ref="A44:A48"/>
    <mergeCell ref="A53:B53"/>
    <mergeCell ref="C53:E53"/>
    <mergeCell ref="F53:G53"/>
    <mergeCell ref="A1:G1"/>
    <mergeCell ref="A3:A20"/>
    <mergeCell ref="G3:G20"/>
    <mergeCell ref="A21:A25"/>
    <mergeCell ref="A26:A28"/>
    <mergeCell ref="A29:A43"/>
    <mergeCell ref="A50:F50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  <col customWidth="1" min="9" max="9" width="18.88"/>
    <col customWidth="1" min="10" max="10" width="16.0"/>
    <col customWidth="1" min="11" max="11" width="16.38"/>
    <col customWidth="1" min="12" max="12" width="15.63"/>
    <col customWidth="1" min="13" max="13" width="17.0"/>
  </cols>
  <sheetData>
    <row r="1">
      <c r="A1" s="1" t="s">
        <v>397</v>
      </c>
    </row>
    <row r="3">
      <c r="A3" s="8" t="s">
        <v>10</v>
      </c>
      <c r="B3" s="1452" t="s">
        <v>11</v>
      </c>
      <c r="C3" s="9" t="s">
        <v>12</v>
      </c>
      <c r="D3" s="9" t="s">
        <v>13</v>
      </c>
      <c r="E3" s="9" t="s">
        <v>14</v>
      </c>
      <c r="F3" s="10" t="s">
        <v>15</v>
      </c>
      <c r="G3" s="9" t="s">
        <v>16</v>
      </c>
      <c r="H3" s="1452" t="s">
        <v>17</v>
      </c>
    </row>
    <row r="4">
      <c r="A4" s="341" t="s">
        <v>58</v>
      </c>
      <c r="B4" s="1585">
        <v>45663.0</v>
      </c>
      <c r="C4" s="2023" t="s">
        <v>27</v>
      </c>
      <c r="D4" s="395" t="s">
        <v>28</v>
      </c>
      <c r="E4" s="1613"/>
      <c r="F4" s="346">
        <v>4.0</v>
      </c>
      <c r="G4" s="298" t="s">
        <v>73</v>
      </c>
      <c r="H4" s="1597" t="s">
        <v>122</v>
      </c>
    </row>
    <row r="5">
      <c r="A5" s="33"/>
      <c r="B5" s="142"/>
      <c r="C5" s="2024" t="s">
        <v>176</v>
      </c>
      <c r="D5" s="417" t="s">
        <v>71</v>
      </c>
      <c r="E5" s="1839"/>
      <c r="F5" s="357">
        <v>4.0</v>
      </c>
      <c r="G5" s="409" t="s">
        <v>73</v>
      </c>
      <c r="H5" s="142"/>
    </row>
    <row r="6">
      <c r="A6" s="33"/>
      <c r="B6" s="142"/>
      <c r="C6" s="2025" t="s">
        <v>48</v>
      </c>
      <c r="D6" s="2026" t="s">
        <v>39</v>
      </c>
      <c r="E6" s="2027"/>
      <c r="F6" s="2028">
        <v>4.0</v>
      </c>
      <c r="G6" s="2029" t="s">
        <v>73</v>
      </c>
      <c r="H6" s="142"/>
    </row>
    <row r="7">
      <c r="A7" s="56"/>
      <c r="B7" s="182"/>
      <c r="C7" s="2099" t="s">
        <v>38</v>
      </c>
      <c r="D7" s="2032" t="s">
        <v>43</v>
      </c>
      <c r="E7" s="2101"/>
      <c r="F7" s="366">
        <v>3.0</v>
      </c>
      <c r="G7" s="2102" t="s">
        <v>73</v>
      </c>
      <c r="H7" s="182"/>
    </row>
    <row r="8">
      <c r="A8" s="341" t="s">
        <v>62</v>
      </c>
      <c r="B8" s="1585">
        <v>45664.0</v>
      </c>
      <c r="C8" s="2162" t="s">
        <v>390</v>
      </c>
      <c r="D8" s="395" t="s">
        <v>63</v>
      </c>
      <c r="E8" s="1757" t="s">
        <v>145</v>
      </c>
      <c r="F8" s="438">
        <v>3.0</v>
      </c>
      <c r="G8" s="298" t="s">
        <v>73</v>
      </c>
      <c r="H8" s="2163" t="s">
        <v>74</v>
      </c>
    </row>
    <row r="9">
      <c r="A9" s="56"/>
      <c r="B9" s="182"/>
      <c r="C9" s="2164" t="s">
        <v>392</v>
      </c>
      <c r="D9" s="1564" t="s">
        <v>71</v>
      </c>
      <c r="E9" s="1758" t="s">
        <v>543</v>
      </c>
      <c r="F9" s="1565">
        <v>3.0</v>
      </c>
      <c r="G9" s="1557" t="s">
        <v>73</v>
      </c>
      <c r="H9" s="110"/>
    </row>
    <row r="10">
      <c r="A10" s="341" t="s">
        <v>77</v>
      </c>
      <c r="B10" s="1585">
        <v>45665.0</v>
      </c>
      <c r="C10" s="2036" t="s">
        <v>27</v>
      </c>
      <c r="D10" s="395" t="s">
        <v>28</v>
      </c>
      <c r="E10" s="1789"/>
      <c r="F10" s="346">
        <v>4.0</v>
      </c>
      <c r="G10" s="298" t="s">
        <v>73</v>
      </c>
      <c r="H10" s="1597" t="s">
        <v>122</v>
      </c>
    </row>
    <row r="11">
      <c r="A11" s="33"/>
      <c r="B11" s="142"/>
      <c r="C11" s="2024" t="s">
        <v>176</v>
      </c>
      <c r="D11" s="417" t="s">
        <v>33</v>
      </c>
      <c r="E11" s="1759"/>
      <c r="F11" s="357">
        <v>4.0</v>
      </c>
      <c r="G11" s="409" t="s">
        <v>73</v>
      </c>
      <c r="H11" s="142"/>
    </row>
    <row r="12">
      <c r="A12" s="33"/>
      <c r="B12" s="142"/>
      <c r="C12" s="2165" t="s">
        <v>48</v>
      </c>
      <c r="D12" s="1651" t="s">
        <v>36</v>
      </c>
      <c r="E12" s="1652"/>
      <c r="F12" s="1653">
        <v>4.0</v>
      </c>
      <c r="G12" s="1654" t="s">
        <v>73</v>
      </c>
      <c r="H12" s="142"/>
    </row>
    <row r="13">
      <c r="A13" s="56"/>
      <c r="B13" s="182"/>
      <c r="C13" s="2166" t="s">
        <v>38</v>
      </c>
      <c r="D13" s="1618" t="s">
        <v>503</v>
      </c>
      <c r="E13" s="1619"/>
      <c r="F13" s="1604">
        <v>3.0</v>
      </c>
      <c r="G13" s="1605" t="s">
        <v>73</v>
      </c>
      <c r="H13" s="182"/>
    </row>
    <row r="14">
      <c r="A14" s="341" t="s">
        <v>26</v>
      </c>
      <c r="B14" s="1585">
        <v>45666.0</v>
      </c>
      <c r="C14" s="2036" t="s">
        <v>27</v>
      </c>
      <c r="D14" s="395" t="s">
        <v>28</v>
      </c>
      <c r="E14" s="1789"/>
      <c r="F14" s="346">
        <v>4.0</v>
      </c>
      <c r="G14" s="298" t="s">
        <v>73</v>
      </c>
      <c r="H14" s="1597" t="s">
        <v>122</v>
      </c>
    </row>
    <row r="15">
      <c r="A15" s="33"/>
      <c r="B15" s="142"/>
      <c r="C15" s="2122" t="s">
        <v>176</v>
      </c>
      <c r="D15" s="2026" t="s">
        <v>92</v>
      </c>
      <c r="E15" s="2120"/>
      <c r="F15" s="2028">
        <v>4.0</v>
      </c>
      <c r="G15" s="2029" t="s">
        <v>73</v>
      </c>
      <c r="H15" s="142"/>
      <c r="I15" s="241" t="s">
        <v>544</v>
      </c>
    </row>
    <row r="16">
      <c r="A16" s="33"/>
      <c r="B16" s="142"/>
      <c r="C16" s="1940" t="s">
        <v>31</v>
      </c>
      <c r="D16" s="398" t="s">
        <v>43</v>
      </c>
      <c r="E16" s="418"/>
      <c r="F16" s="1599">
        <v>3.0</v>
      </c>
      <c r="G16" s="305" t="s">
        <v>73</v>
      </c>
      <c r="H16" s="142"/>
    </row>
    <row r="17">
      <c r="A17" s="56"/>
      <c r="B17" s="182"/>
      <c r="C17" s="2030" t="s">
        <v>38</v>
      </c>
      <c r="D17" s="1724" t="s">
        <v>36</v>
      </c>
      <c r="E17" s="1725"/>
      <c r="F17" s="1726">
        <v>4.0</v>
      </c>
      <c r="G17" s="1727" t="s">
        <v>73</v>
      </c>
      <c r="H17" s="182"/>
    </row>
    <row r="18">
      <c r="A18" s="341" t="s">
        <v>41</v>
      </c>
      <c r="B18" s="1585">
        <v>45667.0</v>
      </c>
      <c r="C18" s="2024" t="s">
        <v>27</v>
      </c>
      <c r="D18" s="500" t="s">
        <v>71</v>
      </c>
      <c r="E18" s="477"/>
      <c r="F18" s="1657">
        <v>4.0</v>
      </c>
      <c r="G18" s="478" t="s">
        <v>73</v>
      </c>
      <c r="H18" s="1597" t="s">
        <v>403</v>
      </c>
    </row>
    <row r="19">
      <c r="A19" s="33"/>
      <c r="B19" s="142"/>
      <c r="C19" s="1940" t="s">
        <v>40</v>
      </c>
      <c r="D19" s="398" t="s">
        <v>43</v>
      </c>
      <c r="E19" s="1849"/>
      <c r="F19" s="1599">
        <v>4.0</v>
      </c>
      <c r="G19" s="305" t="s">
        <v>73</v>
      </c>
      <c r="H19" s="142"/>
      <c r="I19" s="241" t="s">
        <v>545</v>
      </c>
    </row>
    <row r="20">
      <c r="A20" s="33"/>
      <c r="B20" s="142"/>
      <c r="C20" s="2040" t="s">
        <v>31</v>
      </c>
      <c r="D20" s="1651" t="s">
        <v>36</v>
      </c>
      <c r="E20" s="1652"/>
      <c r="F20" s="1653">
        <v>4.0</v>
      </c>
      <c r="G20" s="1654" t="s">
        <v>73</v>
      </c>
      <c r="H20" s="142"/>
    </row>
    <row r="21">
      <c r="A21" s="56"/>
      <c r="B21" s="182"/>
      <c r="C21" s="2039" t="s">
        <v>38</v>
      </c>
      <c r="D21" s="2019" t="s">
        <v>39</v>
      </c>
      <c r="E21" s="2020"/>
      <c r="F21" s="2021">
        <v>3.0</v>
      </c>
      <c r="G21" s="2022" t="s">
        <v>73</v>
      </c>
      <c r="H21" s="182"/>
    </row>
    <row r="22">
      <c r="A22" s="1853" t="s">
        <v>45</v>
      </c>
      <c r="B22" s="1854">
        <v>45668.0</v>
      </c>
      <c r="C22" s="1940" t="s">
        <v>405</v>
      </c>
      <c r="D22" s="1678" t="s">
        <v>43</v>
      </c>
      <c r="E22" s="2167"/>
      <c r="F22" s="2131">
        <v>3.0</v>
      </c>
      <c r="G22" s="1644" t="s">
        <v>73</v>
      </c>
      <c r="H22" s="1597" t="s">
        <v>122</v>
      </c>
    </row>
    <row r="23">
      <c r="A23" s="33"/>
      <c r="B23" s="142"/>
      <c r="C23" s="2135" t="s">
        <v>40</v>
      </c>
      <c r="D23" s="1580" t="s">
        <v>503</v>
      </c>
      <c r="E23" s="2168"/>
      <c r="F23" s="2138">
        <v>4.0</v>
      </c>
      <c r="G23" s="1582" t="s">
        <v>73</v>
      </c>
      <c r="H23" s="142"/>
      <c r="I23" s="241" t="s">
        <v>546</v>
      </c>
    </row>
    <row r="24">
      <c r="A24" s="33"/>
      <c r="B24" s="142"/>
      <c r="C24" s="1866" t="s">
        <v>31</v>
      </c>
      <c r="D24" s="1665" t="s">
        <v>547</v>
      </c>
      <c r="E24" s="1037"/>
      <c r="F24" s="1666">
        <v>4.0</v>
      </c>
      <c r="G24" s="1538" t="s">
        <v>73</v>
      </c>
      <c r="H24" s="142"/>
      <c r="I24" s="241" t="s">
        <v>518</v>
      </c>
    </row>
    <row r="25">
      <c r="A25" s="56"/>
      <c r="B25" s="182"/>
      <c r="C25" s="2118" t="s">
        <v>38</v>
      </c>
      <c r="D25" s="1668" t="s">
        <v>67</v>
      </c>
      <c r="E25" s="431"/>
      <c r="F25" s="1669">
        <v>3.0</v>
      </c>
      <c r="G25" s="315" t="s">
        <v>73</v>
      </c>
      <c r="H25" s="182"/>
    </row>
    <row r="28">
      <c r="A28" s="1" t="s">
        <v>409</v>
      </c>
    </row>
    <row r="30">
      <c r="A30" s="8" t="s">
        <v>10</v>
      </c>
      <c r="B30" s="1452" t="s">
        <v>11</v>
      </c>
      <c r="C30" s="9" t="s">
        <v>12</v>
      </c>
      <c r="D30" s="9" t="s">
        <v>13</v>
      </c>
      <c r="E30" s="9" t="s">
        <v>14</v>
      </c>
      <c r="F30" s="10" t="s">
        <v>15</v>
      </c>
      <c r="G30" s="9" t="s">
        <v>16</v>
      </c>
      <c r="H30" s="1452" t="s">
        <v>17</v>
      </c>
    </row>
    <row r="31">
      <c r="A31" s="341" t="s">
        <v>58</v>
      </c>
      <c r="B31" s="1585">
        <v>46035.0</v>
      </c>
      <c r="C31" s="2036" t="s">
        <v>27</v>
      </c>
      <c r="D31" s="395" t="s">
        <v>28</v>
      </c>
      <c r="E31" s="1789"/>
      <c r="F31" s="346">
        <v>4.0</v>
      </c>
      <c r="G31" s="298" t="s">
        <v>73</v>
      </c>
      <c r="H31" s="1910" t="s">
        <v>122</v>
      </c>
      <c r="I31" s="241" t="s">
        <v>548</v>
      </c>
    </row>
    <row r="32">
      <c r="A32" s="33"/>
      <c r="B32" s="142"/>
      <c r="C32" s="2080" t="s">
        <v>549</v>
      </c>
      <c r="D32" s="398" t="s">
        <v>43</v>
      </c>
      <c r="E32" s="418"/>
      <c r="F32" s="1599">
        <v>6.0</v>
      </c>
      <c r="G32" s="305" t="s">
        <v>73</v>
      </c>
      <c r="H32" s="142"/>
    </row>
    <row r="33">
      <c r="A33" s="56"/>
      <c r="B33" s="182"/>
      <c r="C33" s="2169" t="s">
        <v>103</v>
      </c>
      <c r="D33" s="2019" t="s">
        <v>39</v>
      </c>
      <c r="E33" s="2020"/>
      <c r="F33" s="2021">
        <v>5.0</v>
      </c>
      <c r="G33" s="2022" t="s">
        <v>73</v>
      </c>
      <c r="H33" s="182"/>
    </row>
    <row r="34">
      <c r="A34" s="341" t="s">
        <v>62</v>
      </c>
      <c r="B34" s="1585">
        <v>46036.0</v>
      </c>
      <c r="C34" s="1551" t="s">
        <v>27</v>
      </c>
      <c r="D34" s="1520" t="s">
        <v>28</v>
      </c>
      <c r="E34" s="2170"/>
      <c r="F34" s="1645">
        <v>4.0</v>
      </c>
      <c r="G34" s="482" t="s">
        <v>73</v>
      </c>
      <c r="H34" s="1910" t="s">
        <v>122</v>
      </c>
      <c r="I34" s="241" t="s">
        <v>487</v>
      </c>
    </row>
    <row r="35">
      <c r="A35" s="33"/>
      <c r="B35" s="142"/>
      <c r="C35" s="2171" t="s">
        <v>40</v>
      </c>
      <c r="D35" s="2172" t="s">
        <v>550</v>
      </c>
      <c r="E35" s="2079"/>
      <c r="F35" s="1666">
        <v>4.0</v>
      </c>
      <c r="G35" s="1538" t="s">
        <v>73</v>
      </c>
      <c r="H35" s="142"/>
    </row>
    <row r="36">
      <c r="A36" s="33"/>
      <c r="B36" s="142"/>
      <c r="C36" s="1899" t="s">
        <v>48</v>
      </c>
      <c r="D36" s="2173" t="s">
        <v>499</v>
      </c>
      <c r="E36" s="1037"/>
      <c r="F36" s="1666">
        <v>4.0</v>
      </c>
      <c r="G36" s="1538" t="s">
        <v>73</v>
      </c>
      <c r="H36" s="142"/>
      <c r="I36" s="241" t="s">
        <v>551</v>
      </c>
    </row>
    <row r="37">
      <c r="A37" s="33"/>
      <c r="B37" s="142"/>
      <c r="C37" s="1914" t="s">
        <v>38</v>
      </c>
      <c r="D37" s="2174" t="s">
        <v>552</v>
      </c>
      <c r="E37" s="2175"/>
      <c r="F37" s="1593">
        <v>3.0</v>
      </c>
      <c r="G37" s="1736" t="s">
        <v>73</v>
      </c>
      <c r="H37" s="182"/>
    </row>
    <row r="38">
      <c r="A38" s="56"/>
      <c r="B38" s="182"/>
      <c r="C38" s="2176" t="s">
        <v>432</v>
      </c>
      <c r="D38" s="2177" t="s">
        <v>39</v>
      </c>
      <c r="E38" s="2178"/>
      <c r="F38" s="2179">
        <v>6.0</v>
      </c>
      <c r="G38" s="2180" t="s">
        <v>439</v>
      </c>
      <c r="H38" s="1935" t="s">
        <v>74</v>
      </c>
    </row>
    <row r="39">
      <c r="A39" s="341" t="s">
        <v>553</v>
      </c>
      <c r="B39" s="1457"/>
      <c r="C39" s="2181" t="s">
        <v>554</v>
      </c>
      <c r="D39" s="1678" t="s">
        <v>43</v>
      </c>
      <c r="E39" s="2130"/>
      <c r="F39" s="2131">
        <v>4.0</v>
      </c>
      <c r="G39" s="2182" t="s">
        <v>30</v>
      </c>
      <c r="H39" s="2183" t="s">
        <v>555</v>
      </c>
      <c r="I39" s="241"/>
    </row>
    <row r="40">
      <c r="A40" s="33"/>
      <c r="B40" s="39"/>
      <c r="C40" s="2184" t="s">
        <v>556</v>
      </c>
      <c r="D40" s="2172" t="s">
        <v>550</v>
      </c>
      <c r="E40" s="2079"/>
      <c r="F40" s="1666">
        <v>3.0</v>
      </c>
      <c r="G40" s="2185" t="s">
        <v>30</v>
      </c>
      <c r="H40" s="98"/>
      <c r="I40" s="241"/>
    </row>
    <row r="41">
      <c r="A41" s="33"/>
      <c r="B41" s="39"/>
      <c r="C41" s="2184" t="s">
        <v>330</v>
      </c>
      <c r="D41" s="1665" t="s">
        <v>557</v>
      </c>
      <c r="E41" s="2079"/>
      <c r="F41" s="1666">
        <v>4.0</v>
      </c>
      <c r="G41" s="2185" t="s">
        <v>30</v>
      </c>
      <c r="H41" s="98"/>
      <c r="I41" s="241"/>
    </row>
    <row r="42">
      <c r="A42" s="33"/>
      <c r="B42" s="39"/>
      <c r="C42" s="2184" t="s">
        <v>44</v>
      </c>
      <c r="D42" s="1665" t="s">
        <v>558</v>
      </c>
      <c r="E42" s="2079"/>
      <c r="F42" s="1666">
        <v>4.0</v>
      </c>
      <c r="G42" s="2185" t="s">
        <v>30</v>
      </c>
      <c r="H42" s="98"/>
      <c r="I42" s="241"/>
    </row>
    <row r="43">
      <c r="A43" s="33"/>
      <c r="B43" s="39"/>
      <c r="C43" s="2186" t="s">
        <v>106</v>
      </c>
      <c r="D43" s="2026" t="s">
        <v>92</v>
      </c>
      <c r="E43" s="2120"/>
      <c r="F43" s="2028">
        <v>4.0</v>
      </c>
      <c r="G43" s="2187" t="s">
        <v>30</v>
      </c>
      <c r="H43" s="98"/>
      <c r="I43" s="241"/>
    </row>
    <row r="44">
      <c r="A44" s="56"/>
      <c r="B44" s="57"/>
      <c r="C44" s="2169" t="s">
        <v>37</v>
      </c>
      <c r="D44" s="2188" t="s">
        <v>39</v>
      </c>
      <c r="E44" s="2189"/>
      <c r="F44" s="2021">
        <v>4.0</v>
      </c>
      <c r="G44" s="2190" t="s">
        <v>30</v>
      </c>
      <c r="H44" s="110"/>
      <c r="I44" s="241"/>
    </row>
    <row r="45">
      <c r="A45" s="341" t="s">
        <v>77</v>
      </c>
      <c r="B45" s="1585">
        <v>46037.0</v>
      </c>
      <c r="C45" s="2036" t="s">
        <v>27</v>
      </c>
      <c r="D45" s="2191" t="s">
        <v>28</v>
      </c>
      <c r="E45" s="2192"/>
      <c r="F45" s="2193">
        <v>4.0</v>
      </c>
      <c r="G45" s="2194" t="s">
        <v>439</v>
      </c>
      <c r="H45" s="1910" t="s">
        <v>122</v>
      </c>
      <c r="I45" s="241" t="s">
        <v>435</v>
      </c>
    </row>
    <row r="46">
      <c r="A46" s="33"/>
      <c r="B46" s="142"/>
      <c r="C46" s="2195" t="s">
        <v>176</v>
      </c>
      <c r="D46" s="398" t="s">
        <v>43</v>
      </c>
      <c r="E46" s="418"/>
      <c r="F46" s="1599">
        <v>4.0</v>
      </c>
      <c r="G46" s="2196" t="s">
        <v>439</v>
      </c>
      <c r="H46" s="142"/>
    </row>
    <row r="47">
      <c r="A47" s="33"/>
      <c r="B47" s="142"/>
      <c r="C47" s="2080" t="s">
        <v>151</v>
      </c>
      <c r="D47" s="398" t="s">
        <v>43</v>
      </c>
      <c r="E47" s="418"/>
      <c r="F47" s="1599">
        <v>3.0</v>
      </c>
      <c r="G47" s="2196" t="s">
        <v>439</v>
      </c>
      <c r="H47" s="142"/>
    </row>
    <row r="48">
      <c r="A48" s="56"/>
      <c r="B48" s="182"/>
      <c r="C48" s="2197" t="s">
        <v>157</v>
      </c>
      <c r="D48" s="1665" t="s">
        <v>127</v>
      </c>
      <c r="E48" s="1074"/>
      <c r="F48" s="1593">
        <v>4.0</v>
      </c>
      <c r="G48" s="2198" t="s">
        <v>439</v>
      </c>
      <c r="H48" s="182"/>
    </row>
    <row r="49">
      <c r="A49" s="341" t="s">
        <v>26</v>
      </c>
      <c r="B49" s="1585">
        <v>46038.0</v>
      </c>
      <c r="C49" s="2036" t="s">
        <v>27</v>
      </c>
      <c r="D49" s="395" t="s">
        <v>28</v>
      </c>
      <c r="E49" s="1789"/>
      <c r="F49" s="346">
        <v>4.0</v>
      </c>
      <c r="G49" s="2199" t="s">
        <v>30</v>
      </c>
      <c r="H49" s="1910" t="s">
        <v>122</v>
      </c>
      <c r="I49" s="241" t="s">
        <v>487</v>
      </c>
    </row>
    <row r="50">
      <c r="A50" s="33"/>
      <c r="B50" s="142"/>
      <c r="C50" s="2037" t="s">
        <v>176</v>
      </c>
      <c r="D50" s="398" t="s">
        <v>43</v>
      </c>
      <c r="E50" s="418"/>
      <c r="F50" s="1599">
        <v>4.0</v>
      </c>
      <c r="G50" s="2200" t="s">
        <v>30</v>
      </c>
      <c r="H50" s="142"/>
    </row>
    <row r="51">
      <c r="A51" s="33"/>
      <c r="B51" s="142"/>
      <c r="C51" s="2025" t="s">
        <v>48</v>
      </c>
      <c r="D51" s="2026" t="s">
        <v>39</v>
      </c>
      <c r="E51" s="2027"/>
      <c r="F51" s="2028">
        <v>4.0</v>
      </c>
      <c r="G51" s="2187" t="s">
        <v>30</v>
      </c>
      <c r="H51" s="142"/>
    </row>
    <row r="52">
      <c r="A52" s="56"/>
      <c r="B52" s="182"/>
      <c r="C52" s="2201" t="s">
        <v>38</v>
      </c>
      <c r="D52" s="1665" t="s">
        <v>67</v>
      </c>
      <c r="E52" s="1074"/>
      <c r="F52" s="1593">
        <v>3.0</v>
      </c>
      <c r="G52" s="2202" t="s">
        <v>30</v>
      </c>
      <c r="H52" s="182"/>
    </row>
    <row r="53">
      <c r="A53" s="1853" t="s">
        <v>41</v>
      </c>
      <c r="B53" s="1854">
        <v>46039.0</v>
      </c>
      <c r="C53" s="2036" t="s">
        <v>27</v>
      </c>
      <c r="D53" s="395" t="s">
        <v>28</v>
      </c>
      <c r="E53" s="1789"/>
      <c r="F53" s="346">
        <v>4.0</v>
      </c>
      <c r="G53" s="298" t="s">
        <v>73</v>
      </c>
      <c r="H53" s="1910" t="s">
        <v>122</v>
      </c>
      <c r="I53" s="241" t="s">
        <v>435</v>
      </c>
    </row>
    <row r="54">
      <c r="A54" s="33"/>
      <c r="B54" s="142"/>
      <c r="C54" s="1940" t="s">
        <v>32</v>
      </c>
      <c r="D54" s="398" t="s">
        <v>43</v>
      </c>
      <c r="E54" s="418"/>
      <c r="F54" s="1599">
        <v>4.5</v>
      </c>
      <c r="G54" s="305" t="s">
        <v>73</v>
      </c>
      <c r="H54" s="142"/>
    </row>
    <row r="55">
      <c r="A55" s="33"/>
      <c r="B55" s="142"/>
      <c r="C55" s="2040" t="s">
        <v>69</v>
      </c>
      <c r="D55" s="1651" t="s">
        <v>36</v>
      </c>
      <c r="E55" s="1652"/>
      <c r="F55" s="1653">
        <v>3.5</v>
      </c>
      <c r="G55" s="1654" t="s">
        <v>73</v>
      </c>
      <c r="H55" s="142"/>
    </row>
    <row r="56">
      <c r="A56" s="56"/>
      <c r="B56" s="182"/>
      <c r="C56" s="2041" t="s">
        <v>38</v>
      </c>
      <c r="D56" s="2082" t="s">
        <v>503</v>
      </c>
      <c r="E56" s="1619"/>
      <c r="F56" s="1604">
        <v>3.0</v>
      </c>
      <c r="G56" s="1605" t="s">
        <v>73</v>
      </c>
      <c r="H56" s="182"/>
    </row>
    <row r="57">
      <c r="A57" s="1853" t="s">
        <v>45</v>
      </c>
      <c r="B57" s="1854">
        <v>46040.0</v>
      </c>
      <c r="C57" s="2023" t="s">
        <v>27</v>
      </c>
      <c r="D57" s="395" t="s">
        <v>28</v>
      </c>
      <c r="E57" s="1789"/>
      <c r="F57" s="346">
        <v>4.0</v>
      </c>
      <c r="G57" s="298" t="s">
        <v>73</v>
      </c>
      <c r="H57" s="1910" t="s">
        <v>122</v>
      </c>
    </row>
    <row r="58">
      <c r="A58" s="33"/>
      <c r="B58" s="142"/>
      <c r="C58" s="2024" t="s">
        <v>176</v>
      </c>
      <c r="D58" s="417" t="s">
        <v>33</v>
      </c>
      <c r="E58" s="1615"/>
      <c r="F58" s="357">
        <v>4.0</v>
      </c>
      <c r="G58" s="409" t="s">
        <v>73</v>
      </c>
      <c r="H58" s="142"/>
    </row>
    <row r="59">
      <c r="A59" s="33"/>
      <c r="B59" s="142"/>
      <c r="C59" s="2025" t="s">
        <v>48</v>
      </c>
      <c r="D59" s="2026" t="s">
        <v>92</v>
      </c>
      <c r="E59" s="2027"/>
      <c r="F59" s="2028">
        <v>4.0</v>
      </c>
      <c r="G59" s="2029" t="s">
        <v>73</v>
      </c>
      <c r="H59" s="142"/>
    </row>
    <row r="60">
      <c r="A60" s="56"/>
      <c r="B60" s="182"/>
      <c r="C60" s="2201" t="s">
        <v>38</v>
      </c>
      <c r="D60" s="1735" t="s">
        <v>67</v>
      </c>
      <c r="E60" s="1074"/>
      <c r="F60" s="1593">
        <v>3.0</v>
      </c>
      <c r="G60" s="1736" t="s">
        <v>73</v>
      </c>
      <c r="H60" s="182"/>
    </row>
    <row r="63">
      <c r="A63" s="1" t="s">
        <v>412</v>
      </c>
    </row>
    <row r="65">
      <c r="A65" s="8" t="s">
        <v>10</v>
      </c>
      <c r="B65" s="1452" t="s">
        <v>11</v>
      </c>
      <c r="C65" s="9" t="s">
        <v>12</v>
      </c>
      <c r="D65" s="9" t="s">
        <v>13</v>
      </c>
      <c r="E65" s="9" t="s">
        <v>14</v>
      </c>
      <c r="F65" s="10" t="s">
        <v>15</v>
      </c>
      <c r="G65" s="9" t="s">
        <v>16</v>
      </c>
      <c r="H65" s="2203" t="s">
        <v>559</v>
      </c>
      <c r="I65" s="2203" t="s">
        <v>560</v>
      </c>
      <c r="J65" s="2203" t="s">
        <v>8</v>
      </c>
      <c r="K65" s="2204" t="s">
        <v>561</v>
      </c>
      <c r="L65" s="2204" t="s">
        <v>562</v>
      </c>
      <c r="M65" s="2203" t="s">
        <v>563</v>
      </c>
    </row>
    <row r="66">
      <c r="A66" s="341" t="s">
        <v>58</v>
      </c>
      <c r="B66" s="1585">
        <v>46042.0</v>
      </c>
      <c r="C66" s="2023" t="s">
        <v>27</v>
      </c>
      <c r="D66" s="395" t="s">
        <v>63</v>
      </c>
      <c r="E66" s="1613"/>
      <c r="F66" s="346">
        <v>4.0</v>
      </c>
      <c r="G66" s="298" t="s">
        <v>73</v>
      </c>
      <c r="H66" s="2205"/>
      <c r="I66" s="2205"/>
      <c r="J66" s="2206">
        <f>Sum(I66:I69)</f>
        <v>1050000</v>
      </c>
      <c r="K66" s="2207">
        <v>0.0</v>
      </c>
      <c r="L66" s="2208">
        <v>1.31052472E8</v>
      </c>
      <c r="M66" s="2209" t="s">
        <v>122</v>
      </c>
    </row>
    <row r="67">
      <c r="A67" s="33"/>
      <c r="B67" s="142"/>
      <c r="C67" s="2122" t="s">
        <v>176</v>
      </c>
      <c r="D67" s="2026" t="s">
        <v>39</v>
      </c>
      <c r="E67" s="2210"/>
      <c r="F67" s="2028">
        <v>4.0</v>
      </c>
      <c r="G67" s="2029" t="s">
        <v>73</v>
      </c>
      <c r="H67" s="2211" t="s">
        <v>564</v>
      </c>
      <c r="I67" s="2211">
        <f>150000*4</f>
        <v>600000</v>
      </c>
      <c r="J67" s="255"/>
      <c r="K67" s="2212">
        <v>1.31052472E8</v>
      </c>
      <c r="L67" s="2213">
        <v>1.78076509E8</v>
      </c>
      <c r="M67" s="98"/>
    </row>
    <row r="68">
      <c r="A68" s="33"/>
      <c r="B68" s="142"/>
      <c r="C68" s="2089" t="s">
        <v>48</v>
      </c>
      <c r="D68" s="417" t="s">
        <v>33</v>
      </c>
      <c r="E68" s="1615"/>
      <c r="F68" s="357">
        <v>4.0</v>
      </c>
      <c r="G68" s="409" t="s">
        <v>73</v>
      </c>
      <c r="H68" s="2214"/>
      <c r="I68" s="2214"/>
      <c r="J68" s="255"/>
      <c r="K68" s="2212">
        <v>1.78076509E8</v>
      </c>
      <c r="L68" s="2213">
        <v>2.36256832E8</v>
      </c>
      <c r="M68" s="98"/>
    </row>
    <row r="69">
      <c r="A69" s="56"/>
      <c r="B69" s="182"/>
      <c r="C69" s="2041" t="s">
        <v>38</v>
      </c>
      <c r="D69" s="1618" t="s">
        <v>503</v>
      </c>
      <c r="E69" s="1619"/>
      <c r="F69" s="1604">
        <v>3.0</v>
      </c>
      <c r="G69" s="1605" t="s">
        <v>73</v>
      </c>
      <c r="H69" s="2215" t="s">
        <v>564</v>
      </c>
      <c r="I69" s="2215">
        <f>150000*3</f>
        <v>450000</v>
      </c>
      <c r="J69" s="256"/>
      <c r="K69" s="2216">
        <v>2.36256832E8</v>
      </c>
      <c r="L69" s="2217">
        <v>2.72318745E8</v>
      </c>
      <c r="M69" s="110"/>
    </row>
    <row r="70">
      <c r="A70" s="341" t="s">
        <v>62</v>
      </c>
      <c r="B70" s="1585">
        <v>46043.0</v>
      </c>
      <c r="C70" s="2162" t="s">
        <v>390</v>
      </c>
      <c r="D70" s="395" t="s">
        <v>63</v>
      </c>
      <c r="E70" s="1560" t="s">
        <v>565</v>
      </c>
      <c r="F70" s="438">
        <v>3.0</v>
      </c>
      <c r="G70" s="298" t="s">
        <v>73</v>
      </c>
      <c r="H70" s="2218"/>
      <c r="I70" s="2218"/>
      <c r="J70" s="2219"/>
      <c r="K70" s="2220">
        <v>0.0</v>
      </c>
      <c r="L70" s="2221">
        <v>5.5981122E7</v>
      </c>
      <c r="M70" s="2163" t="s">
        <v>74</v>
      </c>
    </row>
    <row r="71">
      <c r="A71" s="56"/>
      <c r="B71" s="182"/>
      <c r="C71" s="2164" t="s">
        <v>392</v>
      </c>
      <c r="D71" s="1564" t="s">
        <v>33</v>
      </c>
      <c r="E71" s="80"/>
      <c r="F71" s="1565">
        <v>3.0</v>
      </c>
      <c r="G71" s="1557" t="s">
        <v>73</v>
      </c>
      <c r="H71" s="2222"/>
      <c r="I71" s="2222"/>
      <c r="J71" s="109"/>
      <c r="K71" s="2223">
        <v>5.5981122E7</v>
      </c>
      <c r="L71" s="2224">
        <v>1.18183525E8</v>
      </c>
      <c r="M71" s="110"/>
    </row>
    <row r="72">
      <c r="A72" s="341" t="s">
        <v>77</v>
      </c>
      <c r="B72" s="1585">
        <v>46044.0</v>
      </c>
      <c r="C72" s="2023" t="s">
        <v>27</v>
      </c>
      <c r="D72" s="395" t="s">
        <v>63</v>
      </c>
      <c r="E72" s="1613"/>
      <c r="F72" s="346">
        <v>4.0</v>
      </c>
      <c r="G72" s="298" t="s">
        <v>73</v>
      </c>
      <c r="H72" s="2205"/>
      <c r="I72" s="2205"/>
      <c r="J72" s="2225">
        <f>sum(I72:I75)</f>
        <v>450000</v>
      </c>
      <c r="K72" s="2226"/>
      <c r="L72" s="2221">
        <v>1.4757444E7</v>
      </c>
      <c r="M72" s="2209" t="s">
        <v>122</v>
      </c>
    </row>
    <row r="73">
      <c r="A73" s="33"/>
      <c r="B73" s="142"/>
      <c r="C73" s="2024" t="s">
        <v>176</v>
      </c>
      <c r="D73" s="417" t="s">
        <v>33</v>
      </c>
      <c r="E73" s="1839"/>
      <c r="F73" s="357">
        <v>4.0</v>
      </c>
      <c r="G73" s="409" t="s">
        <v>73</v>
      </c>
      <c r="H73" s="2214"/>
      <c r="I73" s="2214"/>
      <c r="J73" s="39"/>
      <c r="K73" s="2227">
        <v>1.4757444E7</v>
      </c>
      <c r="L73" s="2228">
        <v>4.2271219E7</v>
      </c>
      <c r="M73" s="98"/>
    </row>
    <row r="74">
      <c r="A74" s="33"/>
      <c r="B74" s="142"/>
      <c r="C74" s="1940" t="s">
        <v>48</v>
      </c>
      <c r="D74" s="398" t="s">
        <v>43</v>
      </c>
      <c r="E74" s="418"/>
      <c r="F74" s="1599">
        <v>4.0</v>
      </c>
      <c r="G74" s="305" t="s">
        <v>73</v>
      </c>
      <c r="H74" s="2229" t="s">
        <v>566</v>
      </c>
      <c r="I74" s="2229"/>
      <c r="J74" s="39"/>
      <c r="K74" s="2227">
        <v>4.2271219E7</v>
      </c>
      <c r="L74" s="2228">
        <v>5.5690178E7</v>
      </c>
      <c r="M74" s="98"/>
    </row>
    <row r="75">
      <c r="A75" s="56"/>
      <c r="B75" s="182"/>
      <c r="C75" s="2041" t="s">
        <v>38</v>
      </c>
      <c r="D75" s="1618" t="s">
        <v>503</v>
      </c>
      <c r="E75" s="1619"/>
      <c r="F75" s="1604">
        <v>3.0</v>
      </c>
      <c r="G75" s="1605" t="s">
        <v>73</v>
      </c>
      <c r="H75" s="2215" t="s">
        <v>564</v>
      </c>
      <c r="I75" s="2215">
        <f>150000*3</f>
        <v>450000</v>
      </c>
      <c r="J75" s="57"/>
      <c r="K75" s="2230">
        <v>5.5690178E7</v>
      </c>
      <c r="L75" s="2231">
        <v>8.1794927E7</v>
      </c>
      <c r="M75" s="110"/>
    </row>
    <row r="76">
      <c r="A76" s="341" t="s">
        <v>41</v>
      </c>
      <c r="B76" s="1585">
        <v>46046.0</v>
      </c>
      <c r="C76" s="1864" t="s">
        <v>27</v>
      </c>
      <c r="D76" s="1845" t="s">
        <v>567</v>
      </c>
      <c r="E76" s="1035"/>
      <c r="F76" s="1847">
        <v>4.0</v>
      </c>
      <c r="G76" s="2232" t="s">
        <v>439</v>
      </c>
      <c r="H76" s="2233"/>
      <c r="I76" s="2233"/>
      <c r="J76" s="2225">
        <f>sum(I76:I79)</f>
        <v>1250000</v>
      </c>
      <c r="K76" s="2220">
        <v>0.0</v>
      </c>
      <c r="L76" s="2221">
        <v>1.925356E7</v>
      </c>
      <c r="M76" s="2209" t="s">
        <v>122</v>
      </c>
    </row>
    <row r="77">
      <c r="A77" s="33"/>
      <c r="B77" s="142"/>
      <c r="C77" s="1896" t="s">
        <v>176</v>
      </c>
      <c r="D77" s="2057" t="s">
        <v>63</v>
      </c>
      <c r="E77" s="2234"/>
      <c r="F77" s="2235">
        <v>4.0</v>
      </c>
      <c r="G77" s="2236" t="s">
        <v>439</v>
      </c>
      <c r="H77" s="2237"/>
      <c r="I77" s="2237"/>
      <c r="J77" s="39"/>
      <c r="K77" s="2227">
        <v>1.925356E7</v>
      </c>
      <c r="L77" s="2228">
        <v>3.1597379E7</v>
      </c>
      <c r="M77" s="98"/>
    </row>
    <row r="78">
      <c r="A78" s="33"/>
      <c r="B78" s="142"/>
      <c r="C78" s="1940" t="s">
        <v>48</v>
      </c>
      <c r="D78" s="398" t="s">
        <v>43</v>
      </c>
      <c r="E78" s="418"/>
      <c r="F78" s="1599">
        <v>4.0</v>
      </c>
      <c r="G78" s="2238" t="s">
        <v>439</v>
      </c>
      <c r="H78" s="2229" t="s">
        <v>568</v>
      </c>
      <c r="I78" s="2229">
        <f>200000*4</f>
        <v>800000</v>
      </c>
      <c r="J78" s="39"/>
      <c r="K78" s="2227">
        <v>3.1597379E7</v>
      </c>
      <c r="L78" s="2228">
        <v>5.1160624E7</v>
      </c>
      <c r="M78" s="98"/>
    </row>
    <row r="79">
      <c r="A79" s="56"/>
      <c r="B79" s="182"/>
      <c r="C79" s="2118" t="s">
        <v>38</v>
      </c>
      <c r="D79" s="1668" t="s">
        <v>39</v>
      </c>
      <c r="E79" s="431"/>
      <c r="F79" s="1669">
        <v>3.0</v>
      </c>
      <c r="G79" s="2239" t="s">
        <v>439</v>
      </c>
      <c r="H79" s="2240" t="s">
        <v>569</v>
      </c>
      <c r="I79" s="2240">
        <f>150000*3</f>
        <v>450000</v>
      </c>
      <c r="J79" s="57"/>
      <c r="K79" s="2230">
        <v>5.1160624E7</v>
      </c>
      <c r="L79" s="2231">
        <v>8.7197751E7</v>
      </c>
      <c r="M79" s="110"/>
    </row>
    <row r="80">
      <c r="A80" s="341" t="s">
        <v>45</v>
      </c>
      <c r="B80" s="1585">
        <v>46047.0</v>
      </c>
      <c r="C80" s="2181" t="s">
        <v>570</v>
      </c>
      <c r="D80" s="1678" t="s">
        <v>43</v>
      </c>
      <c r="E80" s="2167"/>
      <c r="F80" s="2131">
        <v>1.0</v>
      </c>
      <c r="G80" s="2241" t="s">
        <v>30</v>
      </c>
      <c r="H80" s="2229" t="s">
        <v>568</v>
      </c>
      <c r="I80" s="2229">
        <v>200000.0</v>
      </c>
      <c r="J80" s="2225">
        <f>sum(I80:I84)</f>
        <v>2070000</v>
      </c>
      <c r="K80" s="2242">
        <v>0.0</v>
      </c>
      <c r="L80" s="2243">
        <v>7801678.0</v>
      </c>
      <c r="M80" s="2209" t="s">
        <v>122</v>
      </c>
    </row>
    <row r="81">
      <c r="A81" s="33"/>
      <c r="B81" s="142"/>
      <c r="C81" s="2040" t="s">
        <v>405</v>
      </c>
      <c r="D81" s="2244" t="s">
        <v>36</v>
      </c>
      <c r="E81" s="2245"/>
      <c r="F81" s="2246">
        <v>3.0</v>
      </c>
      <c r="G81" s="2247" t="s">
        <v>30</v>
      </c>
      <c r="H81" s="2248" t="s">
        <v>569</v>
      </c>
      <c r="I81" s="2248">
        <f>150000*3</f>
        <v>450000</v>
      </c>
      <c r="J81" s="39"/>
      <c r="K81" s="2227">
        <v>7801678.0</v>
      </c>
      <c r="L81" s="2228">
        <v>3.2871857E7</v>
      </c>
      <c r="M81" s="98"/>
    </row>
    <row r="82">
      <c r="A82" s="33"/>
      <c r="B82" s="142"/>
      <c r="C82" s="2048" t="s">
        <v>176</v>
      </c>
      <c r="D82" s="1467" t="s">
        <v>500</v>
      </c>
      <c r="E82" s="1676"/>
      <c r="F82" s="1588">
        <v>4.0</v>
      </c>
      <c r="G82" s="2249" t="s">
        <v>30</v>
      </c>
      <c r="H82" s="2250" t="s">
        <v>571</v>
      </c>
      <c r="I82" s="2250">
        <f>130000*4</f>
        <v>520000</v>
      </c>
      <c r="J82" s="39"/>
      <c r="K82" s="2227">
        <v>3.2871857E7</v>
      </c>
      <c r="L82" s="2228">
        <v>7.380107E7</v>
      </c>
      <c r="M82" s="98"/>
    </row>
    <row r="83">
      <c r="A83" s="33"/>
      <c r="B83" s="142"/>
      <c r="C83" s="2251" t="s">
        <v>48</v>
      </c>
      <c r="D83" s="2057" t="s">
        <v>63</v>
      </c>
      <c r="E83" s="2252"/>
      <c r="F83" s="2235">
        <v>4.0</v>
      </c>
      <c r="G83" s="2253" t="s">
        <v>30</v>
      </c>
      <c r="H83" s="2237"/>
      <c r="I83" s="2237"/>
      <c r="J83" s="39"/>
      <c r="K83" s="2227">
        <v>7.380107E7</v>
      </c>
      <c r="L83" s="2228">
        <v>9.6765988E7</v>
      </c>
      <c r="M83" s="98"/>
    </row>
    <row r="84">
      <c r="A84" s="56"/>
      <c r="B84" s="182"/>
      <c r="C84" s="2118" t="s">
        <v>38</v>
      </c>
      <c r="D84" s="1668" t="s">
        <v>488</v>
      </c>
      <c r="E84" s="431"/>
      <c r="F84" s="1669">
        <v>3.0</v>
      </c>
      <c r="G84" s="2254" t="s">
        <v>30</v>
      </c>
      <c r="H84" s="2240" t="s">
        <v>572</v>
      </c>
      <c r="I84" s="2240">
        <f>300000*3</f>
        <v>900000</v>
      </c>
      <c r="J84" s="57"/>
      <c r="K84" s="2230">
        <v>9.6765988E7</v>
      </c>
      <c r="L84" s="2231">
        <v>1.14415458E8</v>
      </c>
      <c r="M84" s="110"/>
    </row>
    <row r="87">
      <c r="A87" s="1" t="s">
        <v>419</v>
      </c>
    </row>
    <row r="89">
      <c r="A89" s="8" t="s">
        <v>10</v>
      </c>
      <c r="B89" s="1452" t="s">
        <v>11</v>
      </c>
      <c r="C89" s="9" t="s">
        <v>12</v>
      </c>
      <c r="D89" s="9" t="s">
        <v>13</v>
      </c>
      <c r="E89" s="9" t="s">
        <v>14</v>
      </c>
      <c r="F89" s="10" t="s">
        <v>15</v>
      </c>
      <c r="G89" s="9" t="s">
        <v>16</v>
      </c>
      <c r="H89" s="2203" t="s">
        <v>559</v>
      </c>
      <c r="I89" s="2203" t="s">
        <v>560</v>
      </c>
      <c r="J89" s="2203" t="s">
        <v>8</v>
      </c>
      <c r="K89" s="2204" t="s">
        <v>561</v>
      </c>
      <c r="L89" s="2204" t="s">
        <v>562</v>
      </c>
      <c r="M89" s="2255" t="s">
        <v>563</v>
      </c>
    </row>
    <row r="90">
      <c r="A90" s="341" t="s">
        <v>58</v>
      </c>
      <c r="B90" s="1585">
        <v>46049.0</v>
      </c>
      <c r="C90" s="2256" t="s">
        <v>27</v>
      </c>
      <c r="D90" s="1841" t="s">
        <v>63</v>
      </c>
      <c r="E90" s="2257"/>
      <c r="F90" s="1877">
        <v>4.0</v>
      </c>
      <c r="G90" s="1562" t="s">
        <v>73</v>
      </c>
      <c r="H90" s="2258"/>
      <c r="I90" s="2258"/>
      <c r="J90" s="2259">
        <f>Sum(I90:I93)</f>
        <v>1800000</v>
      </c>
      <c r="K90" s="2207"/>
      <c r="L90" s="2208">
        <v>1.2880715E7</v>
      </c>
      <c r="M90" s="2209" t="s">
        <v>122</v>
      </c>
    </row>
    <row r="91">
      <c r="A91" s="33"/>
      <c r="B91" s="142"/>
      <c r="C91" s="1940" t="s">
        <v>407</v>
      </c>
      <c r="D91" s="398" t="s">
        <v>43</v>
      </c>
      <c r="E91" s="1849"/>
      <c r="F91" s="1599">
        <v>3.0</v>
      </c>
      <c r="G91" s="305" t="s">
        <v>73</v>
      </c>
      <c r="H91" s="2229" t="s">
        <v>573</v>
      </c>
      <c r="I91" s="2229">
        <f>200000*3</f>
        <v>600000</v>
      </c>
      <c r="J91" s="39"/>
      <c r="K91" s="2260">
        <v>1.2880715E7</v>
      </c>
      <c r="L91" s="2261">
        <v>2.9768669E7</v>
      </c>
      <c r="M91" s="98"/>
      <c r="N91" s="241" t="s">
        <v>504</v>
      </c>
    </row>
    <row r="92">
      <c r="A92" s="33"/>
      <c r="B92" s="142"/>
      <c r="C92" s="2025" t="s">
        <v>155</v>
      </c>
      <c r="D92" s="2026" t="s">
        <v>39</v>
      </c>
      <c r="E92" s="2027"/>
      <c r="F92" s="2028">
        <v>4.0</v>
      </c>
      <c r="G92" s="2029" t="s">
        <v>73</v>
      </c>
      <c r="H92" s="2211" t="s">
        <v>569</v>
      </c>
      <c r="I92" s="2211">
        <f>200000*3</f>
        <v>600000</v>
      </c>
      <c r="J92" s="39"/>
      <c r="K92" s="2260">
        <v>2.9768669E7</v>
      </c>
      <c r="L92" s="2261">
        <v>6.6168682E7</v>
      </c>
      <c r="M92" s="98"/>
    </row>
    <row r="93">
      <c r="A93" s="56"/>
      <c r="B93" s="182"/>
      <c r="C93" s="2041" t="s">
        <v>157</v>
      </c>
      <c r="D93" s="1618" t="s">
        <v>503</v>
      </c>
      <c r="E93" s="1619"/>
      <c r="F93" s="1604">
        <v>4.0</v>
      </c>
      <c r="G93" s="1605" t="s">
        <v>73</v>
      </c>
      <c r="H93" s="2215" t="s">
        <v>569</v>
      </c>
      <c r="I93" s="2215">
        <f>150000*4</f>
        <v>600000</v>
      </c>
      <c r="J93" s="57"/>
      <c r="K93" s="2262">
        <v>6.6168682E7</v>
      </c>
      <c r="L93" s="2263">
        <v>1.0128427E8</v>
      </c>
      <c r="M93" s="110"/>
    </row>
    <row r="94">
      <c r="A94" s="341" t="s">
        <v>62</v>
      </c>
      <c r="B94" s="1585">
        <v>46050.0</v>
      </c>
      <c r="C94" s="2264" t="s">
        <v>390</v>
      </c>
      <c r="D94" s="1841" t="s">
        <v>63</v>
      </c>
      <c r="E94" s="2044" t="s">
        <v>574</v>
      </c>
      <c r="F94" s="1561">
        <v>3.0</v>
      </c>
      <c r="G94" s="1562" t="s">
        <v>73</v>
      </c>
      <c r="H94" s="2265"/>
      <c r="I94" s="2265"/>
      <c r="J94" s="2219">
        <v>450000.0</v>
      </c>
      <c r="K94" s="2266"/>
      <c r="L94" s="2267"/>
      <c r="M94" s="2163" t="s">
        <v>74</v>
      </c>
    </row>
    <row r="95">
      <c r="A95" s="56"/>
      <c r="B95" s="182"/>
      <c r="C95" s="2268" t="s">
        <v>392</v>
      </c>
      <c r="D95" s="2019" t="s">
        <v>39</v>
      </c>
      <c r="E95" s="80"/>
      <c r="F95" s="2046">
        <v>3.0</v>
      </c>
      <c r="G95" s="2022" t="s">
        <v>73</v>
      </c>
      <c r="H95" s="2269" t="s">
        <v>569</v>
      </c>
      <c r="I95" s="2269">
        <f>150000*3</f>
        <v>450000</v>
      </c>
      <c r="J95" s="109"/>
      <c r="K95" s="1485"/>
      <c r="L95" s="2270"/>
      <c r="M95" s="110"/>
    </row>
    <row r="96">
      <c r="A96" s="341" t="s">
        <v>77</v>
      </c>
      <c r="B96" s="1585">
        <v>46051.0</v>
      </c>
      <c r="C96" s="2256" t="s">
        <v>27</v>
      </c>
      <c r="D96" s="1841" t="s">
        <v>63</v>
      </c>
      <c r="E96" s="2257"/>
      <c r="F96" s="1877">
        <v>4.0</v>
      </c>
      <c r="G96" s="1562" t="s">
        <v>73</v>
      </c>
      <c r="H96" s="2258"/>
      <c r="I96" s="2258"/>
      <c r="J96" s="2225">
        <f>sum(I96:I99)</f>
        <v>600000</v>
      </c>
      <c r="K96" s="2207"/>
      <c r="L96" s="2208">
        <v>2.1090715E7</v>
      </c>
      <c r="M96" s="2271" t="s">
        <v>122</v>
      </c>
    </row>
    <row r="97">
      <c r="A97" s="33"/>
      <c r="B97" s="142"/>
      <c r="C97" s="2024" t="s">
        <v>176</v>
      </c>
      <c r="D97" s="417" t="s">
        <v>71</v>
      </c>
      <c r="E97" s="1839"/>
      <c r="F97" s="357">
        <v>4.0</v>
      </c>
      <c r="G97" s="409" t="s">
        <v>73</v>
      </c>
      <c r="H97" s="2214"/>
      <c r="I97" s="2214"/>
      <c r="J97" s="39"/>
      <c r="K97" s="2260">
        <v>2.1090715E7</v>
      </c>
      <c r="L97" s="2261">
        <v>4.0038217E7</v>
      </c>
      <c r="M97" s="98"/>
    </row>
    <row r="98">
      <c r="A98" s="33"/>
      <c r="B98" s="142"/>
      <c r="C98" s="1866" t="s">
        <v>48</v>
      </c>
      <c r="D98" s="1665" t="s">
        <v>567</v>
      </c>
      <c r="E98" s="1037"/>
      <c r="F98" s="1666">
        <v>4.0</v>
      </c>
      <c r="G98" s="1538" t="s">
        <v>73</v>
      </c>
      <c r="H98" s="2272"/>
      <c r="I98" s="2272"/>
      <c r="J98" s="39"/>
      <c r="K98" s="2260">
        <v>4.0038217E7</v>
      </c>
      <c r="L98" s="2261">
        <v>9.1050925E7</v>
      </c>
      <c r="M98" s="98"/>
    </row>
    <row r="99">
      <c r="A99" s="56"/>
      <c r="B99" s="182"/>
      <c r="C99" s="2099" t="s">
        <v>38</v>
      </c>
      <c r="D99" s="2273" t="s">
        <v>43</v>
      </c>
      <c r="E99" s="2101"/>
      <c r="F99" s="366">
        <v>3.0</v>
      </c>
      <c r="G99" s="2102" t="s">
        <v>73</v>
      </c>
      <c r="H99" s="2274" t="s">
        <v>573</v>
      </c>
      <c r="I99" s="2274">
        <f>200000*3</f>
        <v>600000</v>
      </c>
      <c r="J99" s="57"/>
      <c r="K99" s="2262">
        <v>9.1050925E7</v>
      </c>
      <c r="L99" s="2263">
        <v>1.19907325E8</v>
      </c>
      <c r="M99" s="373"/>
    </row>
    <row r="100">
      <c r="A100" s="341" t="s">
        <v>41</v>
      </c>
      <c r="B100" s="1585">
        <v>46053.0</v>
      </c>
      <c r="C100" s="2275" t="s">
        <v>44</v>
      </c>
      <c r="D100" s="1845" t="s">
        <v>567</v>
      </c>
      <c r="E100" s="2044" t="s">
        <v>145</v>
      </c>
      <c r="F100" s="1847">
        <v>4.0</v>
      </c>
      <c r="G100" s="2276" t="s">
        <v>73</v>
      </c>
      <c r="H100" s="2259"/>
      <c r="I100" s="2277"/>
      <c r="J100" s="2278">
        <f>I101</f>
        <v>600000</v>
      </c>
      <c r="K100" s="2279"/>
      <c r="L100" s="2280"/>
      <c r="M100" s="2281" t="s">
        <v>74</v>
      </c>
      <c r="N100" s="241"/>
    </row>
    <row r="101">
      <c r="A101" s="33"/>
      <c r="B101" s="142"/>
      <c r="C101" s="2184" t="s">
        <v>105</v>
      </c>
      <c r="D101" s="1665" t="s">
        <v>127</v>
      </c>
      <c r="E101" s="80"/>
      <c r="F101" s="1666">
        <v>2.0</v>
      </c>
      <c r="G101" s="356"/>
      <c r="H101" s="2282" t="s">
        <v>575</v>
      </c>
      <c r="I101" s="2283">
        <f>300000*2</f>
        <v>600000</v>
      </c>
      <c r="J101" s="109"/>
      <c r="K101" s="2284"/>
      <c r="L101" s="2285"/>
      <c r="M101" s="373"/>
      <c r="N101" s="241"/>
    </row>
    <row r="102">
      <c r="A102" s="33"/>
      <c r="B102" s="142"/>
      <c r="C102" s="2286" t="s">
        <v>31</v>
      </c>
      <c r="D102" s="1580" t="s">
        <v>503</v>
      </c>
      <c r="E102" s="1037"/>
      <c r="F102" s="2138">
        <v>4.0</v>
      </c>
      <c r="G102" s="1582" t="s">
        <v>73</v>
      </c>
      <c r="H102" s="2287" t="s">
        <v>569</v>
      </c>
      <c r="I102" s="2288">
        <f>150000*4</f>
        <v>600000</v>
      </c>
      <c r="J102" s="2278">
        <f>sum(I102:I103)</f>
        <v>1050000</v>
      </c>
      <c r="K102" s="2284"/>
      <c r="L102" s="2285"/>
      <c r="M102" s="2281" t="s">
        <v>576</v>
      </c>
      <c r="N102" s="241" t="s">
        <v>577</v>
      </c>
    </row>
    <row r="103">
      <c r="A103" s="56"/>
      <c r="B103" s="182"/>
      <c r="C103" s="2289" t="s">
        <v>38</v>
      </c>
      <c r="D103" s="1724" t="s">
        <v>36</v>
      </c>
      <c r="E103" s="1725"/>
      <c r="F103" s="1726">
        <v>3.0</v>
      </c>
      <c r="G103" s="1727" t="s">
        <v>73</v>
      </c>
      <c r="H103" s="2290" t="s">
        <v>569</v>
      </c>
      <c r="I103" s="2291">
        <f>150000*3</f>
        <v>450000</v>
      </c>
      <c r="J103" s="109"/>
      <c r="K103" s="1485"/>
      <c r="L103" s="2270"/>
      <c r="M103" s="110"/>
      <c r="N103" s="241" t="s">
        <v>479</v>
      </c>
    </row>
  </sheetData>
  <mergeCells count="86">
    <mergeCell ref="H49:H52"/>
    <mergeCell ref="H53:H56"/>
    <mergeCell ref="H57:H60"/>
    <mergeCell ref="N62:N68"/>
    <mergeCell ref="J66:J69"/>
    <mergeCell ref="M66:M69"/>
    <mergeCell ref="M70:M71"/>
    <mergeCell ref="M80:M84"/>
    <mergeCell ref="M90:M93"/>
    <mergeCell ref="J94:J95"/>
    <mergeCell ref="M94:M95"/>
    <mergeCell ref="J96:J99"/>
    <mergeCell ref="M96:M99"/>
    <mergeCell ref="J100:J101"/>
    <mergeCell ref="M100:M101"/>
    <mergeCell ref="J102:J103"/>
    <mergeCell ref="M102:M103"/>
    <mergeCell ref="J70:J71"/>
    <mergeCell ref="J72:J75"/>
    <mergeCell ref="M72:M75"/>
    <mergeCell ref="J76:J79"/>
    <mergeCell ref="M76:M79"/>
    <mergeCell ref="J80:J84"/>
    <mergeCell ref="J90:J93"/>
    <mergeCell ref="A90:A93"/>
    <mergeCell ref="A94:A95"/>
    <mergeCell ref="A96:A99"/>
    <mergeCell ref="A100:A103"/>
    <mergeCell ref="A53:A56"/>
    <mergeCell ref="A57:A60"/>
    <mergeCell ref="A66:A69"/>
    <mergeCell ref="A70:A71"/>
    <mergeCell ref="A72:A75"/>
    <mergeCell ref="A76:A79"/>
    <mergeCell ref="A80:A84"/>
    <mergeCell ref="A1:B2"/>
    <mergeCell ref="A4:A7"/>
    <mergeCell ref="B4:B7"/>
    <mergeCell ref="H4:H7"/>
    <mergeCell ref="A8:A9"/>
    <mergeCell ref="B8:B9"/>
    <mergeCell ref="H8:H9"/>
    <mergeCell ref="A10:A13"/>
    <mergeCell ref="B10:B13"/>
    <mergeCell ref="H10:H13"/>
    <mergeCell ref="A14:A17"/>
    <mergeCell ref="B14:B17"/>
    <mergeCell ref="A18:A21"/>
    <mergeCell ref="B18:B21"/>
    <mergeCell ref="A22:A25"/>
    <mergeCell ref="B22:B25"/>
    <mergeCell ref="A28:B29"/>
    <mergeCell ref="A31:A33"/>
    <mergeCell ref="B31:B33"/>
    <mergeCell ref="A34:A38"/>
    <mergeCell ref="B34:B38"/>
    <mergeCell ref="H14:H17"/>
    <mergeCell ref="H18:H21"/>
    <mergeCell ref="H22:H25"/>
    <mergeCell ref="H31:H33"/>
    <mergeCell ref="H34:H37"/>
    <mergeCell ref="H39:H44"/>
    <mergeCell ref="H45:H48"/>
    <mergeCell ref="A39:A44"/>
    <mergeCell ref="B39:B44"/>
    <mergeCell ref="A45:A48"/>
    <mergeCell ref="B45:B48"/>
    <mergeCell ref="A49:A52"/>
    <mergeCell ref="B49:B52"/>
    <mergeCell ref="B53:B56"/>
    <mergeCell ref="B57:B60"/>
    <mergeCell ref="A63:B64"/>
    <mergeCell ref="B66:B69"/>
    <mergeCell ref="B70:B71"/>
    <mergeCell ref="E70:E71"/>
    <mergeCell ref="B72:B75"/>
    <mergeCell ref="B76:B79"/>
    <mergeCell ref="E100:E101"/>
    <mergeCell ref="G100:G101"/>
    <mergeCell ref="B80:B84"/>
    <mergeCell ref="A87:B88"/>
    <mergeCell ref="B90:B93"/>
    <mergeCell ref="B94:B95"/>
    <mergeCell ref="E94:E95"/>
    <mergeCell ref="B96:B99"/>
    <mergeCell ref="B100:B10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3" max="3" width="19.0"/>
    <col customWidth="1" min="4" max="4" width="29.0"/>
    <col customWidth="1" min="5" max="5" width="16.38"/>
    <col customWidth="1" min="7" max="7" width="15.88"/>
    <col customWidth="1" min="8" max="9" width="21.75"/>
    <col customWidth="1" min="10" max="10" width="17.38"/>
    <col customWidth="1" min="11" max="11" width="19.0"/>
    <col customWidth="1" min="12" max="13" width="16.38"/>
    <col customWidth="1" min="14" max="14" width="22.25"/>
  </cols>
  <sheetData>
    <row r="1">
      <c r="A1" s="1" t="s">
        <v>467</v>
      </c>
      <c r="N1" s="2292"/>
    </row>
    <row r="2">
      <c r="N2" s="2292"/>
    </row>
    <row r="3" ht="36.0" customHeight="1">
      <c r="A3" s="2293" t="s">
        <v>578</v>
      </c>
      <c r="B3" s="1507"/>
      <c r="C3" s="1507"/>
      <c r="D3" s="2294" t="s">
        <v>579</v>
      </c>
      <c r="E3" s="1508"/>
      <c r="F3" s="2295" t="s">
        <v>580</v>
      </c>
      <c r="G3" s="1507"/>
      <c r="H3" s="1508"/>
      <c r="I3" s="2296" t="s">
        <v>581</v>
      </c>
      <c r="J3" s="1507"/>
      <c r="K3" s="1508"/>
      <c r="L3" s="2297" t="s">
        <v>582</v>
      </c>
      <c r="M3" s="1508"/>
      <c r="N3" s="2298"/>
    </row>
    <row r="4">
      <c r="A4" s="8" t="s">
        <v>10</v>
      </c>
      <c r="B4" s="1452" t="s">
        <v>11</v>
      </c>
      <c r="C4" s="9" t="s">
        <v>12</v>
      </c>
      <c r="D4" s="9" t="s">
        <v>13</v>
      </c>
      <c r="E4" s="9" t="s">
        <v>14</v>
      </c>
      <c r="F4" s="10" t="s">
        <v>15</v>
      </c>
      <c r="G4" s="9" t="s">
        <v>16</v>
      </c>
      <c r="H4" s="2203" t="s">
        <v>563</v>
      </c>
      <c r="I4" s="2203" t="s">
        <v>559</v>
      </c>
      <c r="J4" s="2203" t="s">
        <v>560</v>
      </c>
      <c r="K4" s="2203" t="s">
        <v>8</v>
      </c>
      <c r="L4" s="2299" t="s">
        <v>561</v>
      </c>
      <c r="M4" s="2299" t="s">
        <v>562</v>
      </c>
      <c r="N4" s="2300" t="s">
        <v>583</v>
      </c>
    </row>
    <row r="5">
      <c r="A5" s="341" t="s">
        <v>45</v>
      </c>
      <c r="B5" s="1585">
        <v>46054.0</v>
      </c>
      <c r="C5" s="2301" t="s">
        <v>27</v>
      </c>
      <c r="D5" s="2302" t="s">
        <v>63</v>
      </c>
      <c r="E5" s="2303"/>
      <c r="F5" s="2304">
        <v>4.0</v>
      </c>
      <c r="G5" s="2305" t="s">
        <v>73</v>
      </c>
      <c r="H5" s="2306" t="s">
        <v>122</v>
      </c>
      <c r="I5" s="2307"/>
      <c r="J5" s="2307"/>
      <c r="K5" s="2308">
        <f>Sum(J5:J9)</f>
        <v>2550</v>
      </c>
      <c r="L5" s="2309"/>
      <c r="M5" s="2309"/>
      <c r="N5" s="2310"/>
    </row>
    <row r="6">
      <c r="A6" s="33"/>
      <c r="B6" s="142"/>
      <c r="C6" s="2311" t="s">
        <v>584</v>
      </c>
      <c r="D6" s="2312" t="s">
        <v>39</v>
      </c>
      <c r="E6" s="2312"/>
      <c r="F6" s="2313">
        <v>2.0</v>
      </c>
      <c r="G6" s="2314" t="s">
        <v>73</v>
      </c>
      <c r="H6" s="98"/>
      <c r="I6" s="2315">
        <v>150.0</v>
      </c>
      <c r="J6" s="2315">
        <f t="shared" ref="J6:J9" si="1">I6*F6</f>
        <v>300</v>
      </c>
      <c r="K6" s="98"/>
      <c r="L6" s="2309"/>
      <c r="M6" s="2309"/>
      <c r="N6" s="2316" t="s">
        <v>585</v>
      </c>
    </row>
    <row r="7">
      <c r="A7" s="33"/>
      <c r="B7" s="142"/>
      <c r="C7" s="2311" t="s">
        <v>586</v>
      </c>
      <c r="D7" s="2317" t="s">
        <v>525</v>
      </c>
      <c r="E7" s="2317"/>
      <c r="F7" s="2318">
        <v>2.0</v>
      </c>
      <c r="G7" s="2319" t="s">
        <v>73</v>
      </c>
      <c r="H7" s="98"/>
      <c r="I7" s="2320">
        <v>300.0</v>
      </c>
      <c r="J7" s="2320">
        <f t="shared" si="1"/>
        <v>600</v>
      </c>
      <c r="K7" s="98"/>
      <c r="L7" s="2309"/>
      <c r="M7" s="2309"/>
      <c r="N7" s="2310"/>
    </row>
    <row r="8">
      <c r="A8" s="33"/>
      <c r="B8" s="142"/>
      <c r="C8" s="2311" t="s">
        <v>31</v>
      </c>
      <c r="D8" s="2317" t="s">
        <v>587</v>
      </c>
      <c r="E8" s="2321"/>
      <c r="F8" s="2318">
        <v>4.0</v>
      </c>
      <c r="G8" s="2319" t="s">
        <v>73</v>
      </c>
      <c r="H8" s="98"/>
      <c r="I8" s="2320">
        <v>300.0</v>
      </c>
      <c r="J8" s="2320">
        <f t="shared" si="1"/>
        <v>1200</v>
      </c>
      <c r="K8" s="98"/>
      <c r="L8" s="2309"/>
      <c r="M8" s="2309"/>
      <c r="N8" s="2310"/>
    </row>
    <row r="9">
      <c r="A9" s="56"/>
      <c r="B9" s="182"/>
      <c r="C9" s="2322" t="s">
        <v>38</v>
      </c>
      <c r="D9" s="2323" t="s">
        <v>39</v>
      </c>
      <c r="E9" s="2324"/>
      <c r="F9" s="2325">
        <v>3.0</v>
      </c>
      <c r="G9" s="2326" t="s">
        <v>73</v>
      </c>
      <c r="H9" s="110"/>
      <c r="I9" s="2327">
        <v>150.0</v>
      </c>
      <c r="J9" s="2327">
        <f t="shared" si="1"/>
        <v>450</v>
      </c>
      <c r="K9" s="110"/>
      <c r="L9" s="2309"/>
      <c r="M9" s="2309"/>
      <c r="N9" s="2316" t="s">
        <v>585</v>
      </c>
    </row>
    <row r="10">
      <c r="A10" s="341" t="s">
        <v>55</v>
      </c>
      <c r="B10" s="1585">
        <v>46055.0</v>
      </c>
      <c r="C10" s="2328" t="s">
        <v>27</v>
      </c>
      <c r="D10" s="2329" t="s">
        <v>567</v>
      </c>
      <c r="E10" s="2330"/>
      <c r="F10" s="2331">
        <v>4.0</v>
      </c>
      <c r="G10" s="2332" t="s">
        <v>30</v>
      </c>
      <c r="H10" s="2306" t="s">
        <v>122</v>
      </c>
      <c r="I10" s="2333"/>
      <c r="J10" s="2333"/>
      <c r="K10" s="2308">
        <f>Sum(J10:J13)</f>
        <v>1700</v>
      </c>
      <c r="L10" s="2309"/>
      <c r="M10" s="2309"/>
      <c r="N10" s="2310"/>
    </row>
    <row r="11">
      <c r="A11" s="33"/>
      <c r="B11" s="142"/>
      <c r="C11" s="2334" t="s">
        <v>176</v>
      </c>
      <c r="D11" s="2335" t="s">
        <v>63</v>
      </c>
      <c r="E11" s="2335"/>
      <c r="F11" s="2336">
        <v>4.0</v>
      </c>
      <c r="G11" s="2337" t="s">
        <v>30</v>
      </c>
      <c r="H11" s="98"/>
      <c r="I11" s="2338"/>
      <c r="J11" s="2338"/>
      <c r="K11" s="98"/>
      <c r="L11" s="2309"/>
      <c r="M11" s="2309"/>
      <c r="N11" s="2310"/>
    </row>
    <row r="12">
      <c r="A12" s="33"/>
      <c r="B12" s="142"/>
      <c r="C12" s="2339" t="s">
        <v>31</v>
      </c>
      <c r="D12" s="2340" t="s">
        <v>43</v>
      </c>
      <c r="E12" s="2341"/>
      <c r="F12" s="2342">
        <v>4.0</v>
      </c>
      <c r="G12" s="2343" t="s">
        <v>30</v>
      </c>
      <c r="H12" s="98"/>
      <c r="I12" s="2344">
        <v>200.0</v>
      </c>
      <c r="J12" s="2344">
        <f t="shared" ref="J12:J13" si="2">I12*F12</f>
        <v>800</v>
      </c>
      <c r="K12" s="98"/>
      <c r="L12" s="2309"/>
      <c r="M12" s="2309"/>
      <c r="N12" s="2316" t="s">
        <v>588</v>
      </c>
    </row>
    <row r="13">
      <c r="A13" s="33"/>
      <c r="B13" s="142"/>
      <c r="C13" s="2345" t="s">
        <v>38</v>
      </c>
      <c r="D13" s="2346" t="s">
        <v>488</v>
      </c>
      <c r="E13" s="2347"/>
      <c r="F13" s="2348">
        <v>3.0</v>
      </c>
      <c r="G13" s="2349" t="s">
        <v>30</v>
      </c>
      <c r="H13" s="110"/>
      <c r="I13" s="2350">
        <v>300.0</v>
      </c>
      <c r="J13" s="2350">
        <f t="shared" si="2"/>
        <v>900</v>
      </c>
      <c r="K13" s="110"/>
      <c r="L13" s="2309"/>
      <c r="M13" s="2309"/>
      <c r="N13" s="2310"/>
    </row>
    <row r="14">
      <c r="A14" s="33"/>
      <c r="B14" s="142"/>
      <c r="C14" s="2328" t="s">
        <v>27</v>
      </c>
      <c r="D14" s="2329" t="s">
        <v>589</v>
      </c>
      <c r="E14" s="2330"/>
      <c r="F14" s="2331">
        <v>4.0</v>
      </c>
      <c r="G14" s="2351" t="s">
        <v>73</v>
      </c>
      <c r="H14" s="2306" t="s">
        <v>122</v>
      </c>
      <c r="I14" s="2333"/>
      <c r="J14" s="2333"/>
      <c r="K14" s="2308">
        <f>Sum(J14:J17)</f>
        <v>2100</v>
      </c>
      <c r="L14" s="2309"/>
      <c r="M14" s="2309"/>
      <c r="N14" s="2310"/>
    </row>
    <row r="15">
      <c r="A15" s="33"/>
      <c r="B15" s="142"/>
      <c r="C15" s="2352" t="s">
        <v>176</v>
      </c>
      <c r="D15" s="2353" t="s">
        <v>39</v>
      </c>
      <c r="E15" s="2353"/>
      <c r="F15" s="2354">
        <v>4.0</v>
      </c>
      <c r="G15" s="2355" t="s">
        <v>73</v>
      </c>
      <c r="H15" s="98"/>
      <c r="I15" s="2356">
        <v>150.0</v>
      </c>
      <c r="J15" s="2356">
        <f t="shared" ref="J15:J20" si="3">I15*F15</f>
        <v>600</v>
      </c>
      <c r="K15" s="98"/>
      <c r="L15" s="2309"/>
      <c r="M15" s="2309"/>
      <c r="N15" s="2357" t="s">
        <v>585</v>
      </c>
    </row>
    <row r="16">
      <c r="A16" s="33"/>
      <c r="B16" s="142"/>
      <c r="C16" s="2358" t="s">
        <v>31</v>
      </c>
      <c r="D16" s="2359" t="s">
        <v>590</v>
      </c>
      <c r="E16" s="2360"/>
      <c r="F16" s="2361">
        <v>4.0</v>
      </c>
      <c r="G16" s="2362" t="s">
        <v>73</v>
      </c>
      <c r="H16" s="98"/>
      <c r="I16" s="2363">
        <v>150.0</v>
      </c>
      <c r="J16" s="2363">
        <f t="shared" si="3"/>
        <v>600</v>
      </c>
      <c r="K16" s="98"/>
      <c r="L16" s="2309"/>
      <c r="M16" s="2309"/>
      <c r="N16" s="2316" t="s">
        <v>591</v>
      </c>
    </row>
    <row r="17">
      <c r="A17" s="56"/>
      <c r="B17" s="182"/>
      <c r="C17" s="2345" t="s">
        <v>38</v>
      </c>
      <c r="D17" s="2346" t="s">
        <v>592</v>
      </c>
      <c r="E17" s="2347"/>
      <c r="F17" s="2348">
        <v>3.0</v>
      </c>
      <c r="G17" s="2364" t="s">
        <v>73</v>
      </c>
      <c r="H17" s="110"/>
      <c r="I17" s="2350">
        <v>300.0</v>
      </c>
      <c r="J17" s="2350">
        <f t="shared" si="3"/>
        <v>900</v>
      </c>
      <c r="K17" s="110"/>
      <c r="L17" s="2309"/>
      <c r="M17" s="2309"/>
      <c r="N17" s="2310"/>
    </row>
    <row r="18">
      <c r="A18" s="341" t="s">
        <v>58</v>
      </c>
      <c r="B18" s="1585">
        <v>46056.0</v>
      </c>
      <c r="C18" s="2365" t="s">
        <v>27</v>
      </c>
      <c r="D18" s="2366" t="s">
        <v>43</v>
      </c>
      <c r="E18" s="2367"/>
      <c r="F18" s="2368">
        <v>4.0</v>
      </c>
      <c r="G18" s="2369" t="s">
        <v>30</v>
      </c>
      <c r="H18" s="2306" t="s">
        <v>122</v>
      </c>
      <c r="I18" s="2370">
        <v>200.0</v>
      </c>
      <c r="J18" s="2371">
        <f t="shared" si="3"/>
        <v>800</v>
      </c>
      <c r="K18" s="2308">
        <f>Sum(J18:J20)</f>
        <v>2600</v>
      </c>
      <c r="L18" s="2309"/>
      <c r="M18" s="2309"/>
      <c r="N18" s="2357" t="s">
        <v>588</v>
      </c>
      <c r="V18" s="2372"/>
    </row>
    <row r="19">
      <c r="A19" s="33"/>
      <c r="B19" s="142"/>
      <c r="C19" s="2373" t="s">
        <v>593</v>
      </c>
      <c r="D19" s="2374" t="s">
        <v>503</v>
      </c>
      <c r="E19" s="2374"/>
      <c r="F19" s="2375">
        <v>5.5</v>
      </c>
      <c r="G19" s="2376" t="s">
        <v>30</v>
      </c>
      <c r="H19" s="98"/>
      <c r="I19" s="2377">
        <v>150.0</v>
      </c>
      <c r="J19" s="2378">
        <f t="shared" si="3"/>
        <v>825</v>
      </c>
      <c r="K19" s="98"/>
      <c r="L19" s="2309"/>
      <c r="M19" s="2309"/>
      <c r="N19" s="2357" t="s">
        <v>594</v>
      </c>
    </row>
    <row r="20">
      <c r="A20" s="33"/>
      <c r="B20" s="142"/>
      <c r="C20" s="2379" t="s">
        <v>595</v>
      </c>
      <c r="D20" s="2380" t="s">
        <v>590</v>
      </c>
      <c r="E20" s="2381"/>
      <c r="F20" s="2382">
        <v>6.5</v>
      </c>
      <c r="G20" s="2383" t="s">
        <v>30</v>
      </c>
      <c r="H20" s="110"/>
      <c r="I20" s="2384">
        <v>150.0</v>
      </c>
      <c r="J20" s="2385">
        <f t="shared" si="3"/>
        <v>975</v>
      </c>
      <c r="K20" s="110"/>
      <c r="L20" s="2309"/>
      <c r="M20" s="2309"/>
      <c r="N20" s="2357" t="s">
        <v>591</v>
      </c>
    </row>
    <row r="21">
      <c r="A21" s="33"/>
      <c r="B21" s="142"/>
      <c r="C21" s="2301" t="s">
        <v>27</v>
      </c>
      <c r="D21" s="2302" t="s">
        <v>63</v>
      </c>
      <c r="E21" s="2303"/>
      <c r="F21" s="2304">
        <v>4.0</v>
      </c>
      <c r="G21" s="2305" t="s">
        <v>73</v>
      </c>
      <c r="H21" s="2306" t="s">
        <v>122</v>
      </c>
      <c r="I21" s="2307"/>
      <c r="J21" s="2386"/>
      <c r="K21" s="2308">
        <f>Sum(J21:J24)</f>
        <v>2100</v>
      </c>
      <c r="L21" s="2309"/>
      <c r="M21" s="2309"/>
      <c r="N21" s="2310"/>
    </row>
    <row r="22">
      <c r="A22" s="33"/>
      <c r="B22" s="142"/>
      <c r="C22" s="2352" t="s">
        <v>176</v>
      </c>
      <c r="D22" s="2353" t="s">
        <v>39</v>
      </c>
      <c r="E22" s="2353"/>
      <c r="F22" s="2354">
        <v>4.0</v>
      </c>
      <c r="G22" s="2355" t="s">
        <v>73</v>
      </c>
      <c r="H22" s="98"/>
      <c r="I22" s="2356">
        <v>150.0</v>
      </c>
      <c r="J22" s="2387">
        <f t="shared" ref="J22:J28" si="4">I22*F22</f>
        <v>600</v>
      </c>
      <c r="K22" s="98"/>
      <c r="L22" s="2309"/>
      <c r="M22" s="2309"/>
      <c r="N22" s="2357" t="s">
        <v>585</v>
      </c>
    </row>
    <row r="23">
      <c r="A23" s="33"/>
      <c r="B23" s="142"/>
      <c r="C23" s="2388" t="s">
        <v>31</v>
      </c>
      <c r="D23" s="2389" t="s">
        <v>36</v>
      </c>
      <c r="E23" s="2390"/>
      <c r="F23" s="2391">
        <v>4.0</v>
      </c>
      <c r="G23" s="2392" t="s">
        <v>73</v>
      </c>
      <c r="H23" s="98"/>
      <c r="I23" s="2393">
        <v>150.0</v>
      </c>
      <c r="J23" s="2394">
        <f t="shared" si="4"/>
        <v>600</v>
      </c>
      <c r="K23" s="98"/>
      <c r="L23" s="2309"/>
      <c r="M23" s="2309"/>
      <c r="N23" s="2357" t="s">
        <v>596</v>
      </c>
    </row>
    <row r="24">
      <c r="A24" s="56"/>
      <c r="B24" s="182"/>
      <c r="C24" s="2345" t="s">
        <v>38</v>
      </c>
      <c r="D24" s="2346" t="s">
        <v>592</v>
      </c>
      <c r="E24" s="2347"/>
      <c r="F24" s="2348">
        <v>3.0</v>
      </c>
      <c r="G24" s="2364" t="s">
        <v>73</v>
      </c>
      <c r="H24" s="110"/>
      <c r="I24" s="2350">
        <v>300.0</v>
      </c>
      <c r="J24" s="2395">
        <f t="shared" si="4"/>
        <v>900</v>
      </c>
      <c r="K24" s="110"/>
      <c r="L24" s="2309"/>
      <c r="M24" s="2309"/>
      <c r="N24" s="2310"/>
    </row>
    <row r="25">
      <c r="A25" s="341" t="s">
        <v>62</v>
      </c>
      <c r="B25" s="1585">
        <v>46057.0</v>
      </c>
      <c r="C25" s="2365" t="s">
        <v>27</v>
      </c>
      <c r="D25" s="2366" t="s">
        <v>43</v>
      </c>
      <c r="E25" s="2367"/>
      <c r="F25" s="2368">
        <v>4.0</v>
      </c>
      <c r="G25" s="2369" t="s">
        <v>30</v>
      </c>
      <c r="H25" s="2306" t="s">
        <v>122</v>
      </c>
      <c r="I25" s="2370">
        <v>200.0</v>
      </c>
      <c r="J25" s="2371">
        <f t="shared" si="4"/>
        <v>800</v>
      </c>
      <c r="K25" s="2308">
        <f>Sum(J25:J28)</f>
        <v>2450</v>
      </c>
      <c r="L25" s="2309"/>
      <c r="M25" s="2309"/>
      <c r="N25" s="2357" t="s">
        <v>588</v>
      </c>
    </row>
    <row r="26">
      <c r="A26" s="33"/>
      <c r="B26" s="142"/>
      <c r="C26" s="2373" t="s">
        <v>407</v>
      </c>
      <c r="D26" s="2374" t="s">
        <v>503</v>
      </c>
      <c r="E26" s="2374"/>
      <c r="F26" s="2375">
        <v>3.0</v>
      </c>
      <c r="G26" s="2376" t="s">
        <v>30</v>
      </c>
      <c r="H26" s="98"/>
      <c r="I26" s="2377">
        <v>150.0</v>
      </c>
      <c r="J26" s="2378">
        <f t="shared" si="4"/>
        <v>450</v>
      </c>
      <c r="K26" s="98"/>
      <c r="L26" s="2309"/>
      <c r="M26" s="2309"/>
      <c r="N26" s="2357" t="s">
        <v>594</v>
      </c>
    </row>
    <row r="27">
      <c r="A27" s="33"/>
      <c r="B27" s="142"/>
      <c r="C27" s="2396" t="s">
        <v>155</v>
      </c>
      <c r="D27" s="2353" t="s">
        <v>92</v>
      </c>
      <c r="E27" s="2397"/>
      <c r="F27" s="2354">
        <v>4.0</v>
      </c>
      <c r="G27" s="2398" t="s">
        <v>30</v>
      </c>
      <c r="H27" s="98"/>
      <c r="I27" s="2356">
        <v>150.0</v>
      </c>
      <c r="J27" s="2387">
        <f t="shared" si="4"/>
        <v>600</v>
      </c>
      <c r="K27" s="98"/>
      <c r="L27" s="2309"/>
      <c r="M27" s="2309"/>
      <c r="N27" s="2399" t="s">
        <v>585</v>
      </c>
    </row>
    <row r="28">
      <c r="A28" s="33"/>
      <c r="B28" s="142"/>
      <c r="C28" s="2322" t="s">
        <v>157</v>
      </c>
      <c r="D28" s="2323" t="s">
        <v>39</v>
      </c>
      <c r="E28" s="2324"/>
      <c r="F28" s="2325">
        <v>4.0</v>
      </c>
      <c r="G28" s="2400" t="s">
        <v>30</v>
      </c>
      <c r="H28" s="110"/>
      <c r="I28" s="2327">
        <v>150.0</v>
      </c>
      <c r="J28" s="2401">
        <f t="shared" si="4"/>
        <v>600</v>
      </c>
      <c r="K28" s="110"/>
      <c r="L28" s="2309"/>
      <c r="M28" s="2309"/>
      <c r="N28" s="69"/>
    </row>
    <row r="29">
      <c r="A29" s="33"/>
      <c r="B29" s="142"/>
      <c r="C29" s="2402" t="s">
        <v>151</v>
      </c>
      <c r="D29" s="2302" t="s">
        <v>63</v>
      </c>
      <c r="E29" s="2403" t="s">
        <v>145</v>
      </c>
      <c r="F29" s="2304">
        <v>3.0</v>
      </c>
      <c r="G29" s="2305" t="s">
        <v>73</v>
      </c>
      <c r="H29" s="2404" t="s">
        <v>74</v>
      </c>
      <c r="I29" s="2307"/>
      <c r="J29" s="2386"/>
      <c r="K29" s="2308">
        <f>J30</f>
        <v>450</v>
      </c>
      <c r="L29" s="2405"/>
      <c r="M29" s="2405"/>
      <c r="N29" s="2310"/>
    </row>
    <row r="30">
      <c r="A30" s="56"/>
      <c r="B30" s="182"/>
      <c r="C30" s="2345" t="s">
        <v>392</v>
      </c>
      <c r="D30" s="2346" t="s">
        <v>590</v>
      </c>
      <c r="E30" s="80"/>
      <c r="F30" s="2348">
        <v>3.0</v>
      </c>
      <c r="G30" s="2364" t="s">
        <v>73</v>
      </c>
      <c r="H30" s="110"/>
      <c r="I30" s="2350">
        <v>150.0</v>
      </c>
      <c r="J30" s="2395">
        <f>I30*F30</f>
        <v>450</v>
      </c>
      <c r="K30" s="110"/>
      <c r="L30" s="2405"/>
      <c r="M30" s="2405"/>
      <c r="N30" s="2310"/>
    </row>
    <row r="31">
      <c r="A31" s="341" t="s">
        <v>77</v>
      </c>
      <c r="B31" s="1585">
        <v>46058.0</v>
      </c>
      <c r="C31" s="2301" t="s">
        <v>27</v>
      </c>
      <c r="D31" s="2302" t="s">
        <v>63</v>
      </c>
      <c r="E31" s="2303"/>
      <c r="F31" s="2304">
        <v>4.0</v>
      </c>
      <c r="G31" s="2406" t="s">
        <v>30</v>
      </c>
      <c r="H31" s="2306" t="s">
        <v>122</v>
      </c>
      <c r="I31" s="2307"/>
      <c r="J31" s="2386"/>
      <c r="K31" s="2308">
        <f>Sum(J31:J34)</f>
        <v>1650</v>
      </c>
      <c r="L31" s="2309"/>
      <c r="M31" s="2309"/>
      <c r="N31" s="2310"/>
    </row>
    <row r="32" ht="31.5" customHeight="1">
      <c r="A32" s="33"/>
      <c r="B32" s="142"/>
      <c r="C32" s="2407" t="s">
        <v>176</v>
      </c>
      <c r="D32" s="2317" t="s">
        <v>597</v>
      </c>
      <c r="E32" s="2317"/>
      <c r="F32" s="2318">
        <v>4.0</v>
      </c>
      <c r="G32" s="2408" t="s">
        <v>30</v>
      </c>
      <c r="H32" s="98"/>
      <c r="I32" s="2320">
        <v>150.0</v>
      </c>
      <c r="J32" s="2409">
        <f t="shared" ref="J32:J36" si="5">I32*F32</f>
        <v>600</v>
      </c>
      <c r="K32" s="98"/>
      <c r="L32" s="2309"/>
      <c r="M32" s="2309"/>
      <c r="N32" s="2316" t="s">
        <v>598</v>
      </c>
    </row>
    <row r="33" ht="36.0" customHeight="1">
      <c r="A33" s="33"/>
      <c r="B33" s="142"/>
      <c r="C33" s="2388" t="s">
        <v>151</v>
      </c>
      <c r="D33" s="2389" t="s">
        <v>36</v>
      </c>
      <c r="E33" s="2390"/>
      <c r="F33" s="2391">
        <v>3.0</v>
      </c>
      <c r="G33" s="2410" t="s">
        <v>30</v>
      </c>
      <c r="H33" s="98"/>
      <c r="I33" s="2393">
        <v>150.0</v>
      </c>
      <c r="J33" s="2394">
        <f t="shared" si="5"/>
        <v>450</v>
      </c>
      <c r="K33" s="98"/>
      <c r="L33" s="2309"/>
      <c r="M33" s="2309"/>
      <c r="N33" s="2357" t="s">
        <v>596</v>
      </c>
    </row>
    <row r="34" ht="27.75" customHeight="1">
      <c r="A34" s="56"/>
      <c r="B34" s="182"/>
      <c r="C34" s="2322" t="s">
        <v>157</v>
      </c>
      <c r="D34" s="2323" t="s">
        <v>39</v>
      </c>
      <c r="E34" s="2324"/>
      <c r="F34" s="2325">
        <v>4.0</v>
      </c>
      <c r="G34" s="2411" t="s">
        <v>30</v>
      </c>
      <c r="H34" s="110"/>
      <c r="I34" s="2327">
        <v>150.0</v>
      </c>
      <c r="J34" s="2401">
        <f t="shared" si="5"/>
        <v>600</v>
      </c>
      <c r="K34" s="110"/>
      <c r="L34" s="2309"/>
      <c r="M34" s="2309"/>
      <c r="N34" s="2357" t="s">
        <v>585</v>
      </c>
    </row>
    <row r="35" ht="26.25" customHeight="1">
      <c r="A35" s="341" t="s">
        <v>26</v>
      </c>
      <c r="B35" s="1585">
        <v>46059.0</v>
      </c>
      <c r="C35" s="2412" t="s">
        <v>27</v>
      </c>
      <c r="D35" s="2413" t="s">
        <v>503</v>
      </c>
      <c r="E35" s="2414"/>
      <c r="F35" s="2415">
        <v>4.0</v>
      </c>
      <c r="G35" s="2416" t="s">
        <v>30</v>
      </c>
      <c r="H35" s="2306" t="s">
        <v>122</v>
      </c>
      <c r="I35" s="2417">
        <v>150.0</v>
      </c>
      <c r="J35" s="2418">
        <f t="shared" si="5"/>
        <v>600</v>
      </c>
      <c r="K35" s="2308">
        <f>Sum(J35:J38)</f>
        <v>2000</v>
      </c>
      <c r="L35" s="2309"/>
      <c r="M35" s="2309"/>
      <c r="N35" s="2357" t="s">
        <v>594</v>
      </c>
    </row>
    <row r="36">
      <c r="A36" s="33"/>
      <c r="B36" s="142"/>
      <c r="C36" s="2419" t="s">
        <v>176</v>
      </c>
      <c r="D36" s="2340" t="s">
        <v>43</v>
      </c>
      <c r="E36" s="2340"/>
      <c r="F36" s="2342">
        <v>4.0</v>
      </c>
      <c r="G36" s="2343" t="s">
        <v>30</v>
      </c>
      <c r="H36" s="98"/>
      <c r="I36" s="2344">
        <v>200.0</v>
      </c>
      <c r="J36" s="2420">
        <f t="shared" si="5"/>
        <v>800</v>
      </c>
      <c r="K36" s="98"/>
      <c r="L36" s="2309"/>
      <c r="M36" s="2309"/>
      <c r="N36" s="2357" t="s">
        <v>588</v>
      </c>
    </row>
    <row r="37">
      <c r="A37" s="33"/>
      <c r="B37" s="142"/>
      <c r="C37" s="2311" t="s">
        <v>151</v>
      </c>
      <c r="D37" s="2317" t="s">
        <v>589</v>
      </c>
      <c r="E37" s="2321"/>
      <c r="F37" s="2318">
        <v>3.0</v>
      </c>
      <c r="G37" s="2408" t="s">
        <v>30</v>
      </c>
      <c r="H37" s="98"/>
      <c r="I37" s="2320"/>
      <c r="J37" s="2409"/>
      <c r="K37" s="98"/>
      <c r="L37" s="2309"/>
      <c r="M37" s="2309"/>
      <c r="N37" s="2310"/>
    </row>
    <row r="38">
      <c r="A38" s="33"/>
      <c r="B38" s="142"/>
      <c r="C38" s="2322" t="s">
        <v>157</v>
      </c>
      <c r="D38" s="2323" t="s">
        <v>39</v>
      </c>
      <c r="E38" s="2324"/>
      <c r="F38" s="2325">
        <v>4.0</v>
      </c>
      <c r="G38" s="2400" t="s">
        <v>30</v>
      </c>
      <c r="H38" s="110"/>
      <c r="I38" s="2327">
        <v>150.0</v>
      </c>
      <c r="J38" s="2401">
        <f>I38*F38</f>
        <v>600</v>
      </c>
      <c r="K38" s="110"/>
      <c r="L38" s="2309"/>
      <c r="M38" s="2309"/>
      <c r="N38" s="2357" t="s">
        <v>585</v>
      </c>
    </row>
    <row r="39">
      <c r="A39" s="33"/>
      <c r="B39" s="142"/>
      <c r="C39" s="2402" t="s">
        <v>151</v>
      </c>
      <c r="D39" s="2302" t="s">
        <v>63</v>
      </c>
      <c r="E39" s="2421" t="s">
        <v>599</v>
      </c>
      <c r="F39" s="2304">
        <v>3.0</v>
      </c>
      <c r="G39" s="2305" t="s">
        <v>73</v>
      </c>
      <c r="H39" s="2404" t="s">
        <v>74</v>
      </c>
      <c r="I39" s="2307"/>
      <c r="J39" s="2386"/>
      <c r="K39" s="2308">
        <f>J40</f>
        <v>450</v>
      </c>
      <c r="L39" s="2405"/>
      <c r="M39" s="2405"/>
      <c r="N39" s="2310"/>
    </row>
    <row r="40">
      <c r="A40" s="56"/>
      <c r="B40" s="182"/>
      <c r="C40" s="2422" t="s">
        <v>392</v>
      </c>
      <c r="D40" s="2423" t="s">
        <v>36</v>
      </c>
      <c r="E40" s="80"/>
      <c r="F40" s="2424">
        <v>3.0</v>
      </c>
      <c r="G40" s="2425" t="s">
        <v>73</v>
      </c>
      <c r="H40" s="110"/>
      <c r="I40" s="2426">
        <v>150.0</v>
      </c>
      <c r="J40" s="2427">
        <f>I40*F40</f>
        <v>450</v>
      </c>
      <c r="K40" s="110"/>
      <c r="L40" s="2405"/>
      <c r="M40" s="2405"/>
      <c r="N40" s="2357" t="s">
        <v>596</v>
      </c>
    </row>
    <row r="41">
      <c r="A41" s="341" t="s">
        <v>41</v>
      </c>
      <c r="B41" s="1585">
        <v>46060.0</v>
      </c>
      <c r="C41" s="2365" t="s">
        <v>27</v>
      </c>
      <c r="D41" s="2366" t="s">
        <v>63</v>
      </c>
      <c r="E41" s="2367"/>
      <c r="F41" s="2368">
        <v>4.0</v>
      </c>
      <c r="G41" s="2369" t="s">
        <v>30</v>
      </c>
      <c r="H41" s="2306" t="s">
        <v>122</v>
      </c>
      <c r="I41" s="2370"/>
      <c r="J41" s="2371"/>
      <c r="K41" s="2308">
        <f>Sum(J41:J44)</f>
        <v>970</v>
      </c>
      <c r="L41" s="2309"/>
      <c r="M41" s="2309"/>
      <c r="N41" s="2357" t="s">
        <v>588</v>
      </c>
    </row>
    <row r="42">
      <c r="A42" s="33"/>
      <c r="B42" s="142"/>
      <c r="C42" s="2428" t="s">
        <v>176</v>
      </c>
      <c r="D42" s="2429" t="s">
        <v>500</v>
      </c>
      <c r="E42" s="2429"/>
      <c r="F42" s="2430">
        <v>4.0</v>
      </c>
      <c r="G42" s="2431" t="s">
        <v>30</v>
      </c>
      <c r="H42" s="98"/>
      <c r="I42" s="2432">
        <v>130.0</v>
      </c>
      <c r="J42" s="2433">
        <f>I42*F42</f>
        <v>520</v>
      </c>
      <c r="K42" s="98"/>
      <c r="L42" s="2309"/>
      <c r="M42" s="2309"/>
      <c r="N42" s="2316" t="s">
        <v>600</v>
      </c>
    </row>
    <row r="43">
      <c r="A43" s="33"/>
      <c r="B43" s="142"/>
      <c r="C43" s="2311" t="s">
        <v>31</v>
      </c>
      <c r="D43" s="2317" t="s">
        <v>589</v>
      </c>
      <c r="E43" s="2321"/>
      <c r="F43" s="2318">
        <v>4.0</v>
      </c>
      <c r="G43" s="2408" t="s">
        <v>30</v>
      </c>
      <c r="H43" s="98"/>
      <c r="I43" s="2320"/>
      <c r="J43" s="2409"/>
      <c r="K43" s="98"/>
      <c r="L43" s="2309"/>
      <c r="M43" s="2309"/>
      <c r="N43" s="2310"/>
    </row>
    <row r="44">
      <c r="A44" s="33"/>
      <c r="B44" s="142"/>
      <c r="C44" s="2322" t="s">
        <v>38</v>
      </c>
      <c r="D44" s="2323" t="s">
        <v>92</v>
      </c>
      <c r="E44" s="2324"/>
      <c r="F44" s="2325">
        <v>3.0</v>
      </c>
      <c r="G44" s="2398" t="s">
        <v>30</v>
      </c>
      <c r="H44" s="110"/>
      <c r="I44" s="2327">
        <v>150.0</v>
      </c>
      <c r="J44" s="2401">
        <f t="shared" ref="J44:J45" si="6">I44*F44</f>
        <v>450</v>
      </c>
      <c r="K44" s="110"/>
      <c r="L44" s="2309"/>
      <c r="M44" s="2309"/>
      <c r="N44" s="2357" t="s">
        <v>585</v>
      </c>
    </row>
    <row r="45">
      <c r="A45" s="33"/>
      <c r="B45" s="142"/>
      <c r="C45" s="2301" t="s">
        <v>27</v>
      </c>
      <c r="D45" s="2302" t="s">
        <v>43</v>
      </c>
      <c r="E45" s="2303"/>
      <c r="F45" s="2304">
        <v>4.0</v>
      </c>
      <c r="G45" s="2305" t="s">
        <v>73</v>
      </c>
      <c r="H45" s="2306" t="s">
        <v>122</v>
      </c>
      <c r="I45" s="2307">
        <v>200.0</v>
      </c>
      <c r="J45" s="2386">
        <f t="shared" si="6"/>
        <v>800</v>
      </c>
      <c r="K45" s="2308">
        <f>Sum(J45:J48)</f>
        <v>1850</v>
      </c>
      <c r="L45" s="2309"/>
      <c r="M45" s="2309"/>
      <c r="N45" s="2310"/>
    </row>
    <row r="46">
      <c r="A46" s="33"/>
      <c r="B46" s="142"/>
      <c r="C46" s="2407" t="s">
        <v>176</v>
      </c>
      <c r="D46" s="2317" t="s">
        <v>567</v>
      </c>
      <c r="E46" s="2317"/>
      <c r="F46" s="2318">
        <v>4.0</v>
      </c>
      <c r="G46" s="2319" t="s">
        <v>73</v>
      </c>
      <c r="H46" s="98"/>
      <c r="I46" s="2320"/>
      <c r="J46" s="2409"/>
      <c r="K46" s="98"/>
      <c r="L46" s="2309"/>
      <c r="M46" s="2309"/>
      <c r="N46" s="2310"/>
    </row>
    <row r="47">
      <c r="A47" s="33"/>
      <c r="B47" s="142"/>
      <c r="C47" s="2396" t="s">
        <v>151</v>
      </c>
      <c r="D47" s="2353" t="s">
        <v>92</v>
      </c>
      <c r="E47" s="2397"/>
      <c r="F47" s="2354">
        <v>3.0</v>
      </c>
      <c r="G47" s="2355" t="s">
        <v>73</v>
      </c>
      <c r="H47" s="98"/>
      <c r="I47" s="2356">
        <v>150.0</v>
      </c>
      <c r="J47" s="2387">
        <f t="shared" ref="J47:J52" si="7">I47*F47</f>
        <v>450</v>
      </c>
      <c r="K47" s="98"/>
      <c r="L47" s="2309"/>
      <c r="M47" s="2309"/>
      <c r="N47" s="2310"/>
    </row>
    <row r="48">
      <c r="A48" s="56"/>
      <c r="B48" s="182"/>
      <c r="C48" s="2379" t="s">
        <v>157</v>
      </c>
      <c r="D48" s="2380" t="s">
        <v>590</v>
      </c>
      <c r="E48" s="2381"/>
      <c r="F48" s="2382">
        <v>4.0</v>
      </c>
      <c r="G48" s="2434" t="s">
        <v>73</v>
      </c>
      <c r="H48" s="110"/>
      <c r="I48" s="2384">
        <v>150.0</v>
      </c>
      <c r="J48" s="2385">
        <f t="shared" si="7"/>
        <v>600</v>
      </c>
      <c r="K48" s="110"/>
      <c r="L48" s="2309"/>
      <c r="M48" s="2309"/>
      <c r="N48" s="2310"/>
    </row>
    <row r="49">
      <c r="A49" s="341" t="s">
        <v>45</v>
      </c>
      <c r="B49" s="1585">
        <v>46061.0</v>
      </c>
      <c r="C49" s="2365" t="s">
        <v>27</v>
      </c>
      <c r="D49" s="2366" t="s">
        <v>43</v>
      </c>
      <c r="E49" s="2367"/>
      <c r="F49" s="2368">
        <v>4.0</v>
      </c>
      <c r="G49" s="2369" t="s">
        <v>30</v>
      </c>
      <c r="H49" s="2306" t="s">
        <v>122</v>
      </c>
      <c r="I49" s="2370">
        <v>200.0</v>
      </c>
      <c r="J49" s="2371">
        <f t="shared" si="7"/>
        <v>800</v>
      </c>
      <c r="K49" s="2308">
        <f>Sum(J49:J52)</f>
        <v>2370</v>
      </c>
      <c r="L49" s="2309"/>
      <c r="M49" s="2309"/>
      <c r="N49" s="2357" t="s">
        <v>588</v>
      </c>
    </row>
    <row r="50">
      <c r="A50" s="33"/>
      <c r="B50" s="142"/>
      <c r="C50" s="2428" t="s">
        <v>176</v>
      </c>
      <c r="D50" s="2429" t="s">
        <v>500</v>
      </c>
      <c r="E50" s="2429"/>
      <c r="F50" s="2430">
        <v>4.0</v>
      </c>
      <c r="G50" s="2431" t="s">
        <v>30</v>
      </c>
      <c r="H50" s="98"/>
      <c r="I50" s="2432">
        <v>130.0</v>
      </c>
      <c r="J50" s="2433">
        <f t="shared" si="7"/>
        <v>520</v>
      </c>
      <c r="K50" s="98"/>
      <c r="L50" s="2309"/>
      <c r="M50" s="2309"/>
      <c r="N50" s="2357" t="s">
        <v>600</v>
      </c>
    </row>
    <row r="51">
      <c r="A51" s="33"/>
      <c r="B51" s="142"/>
      <c r="C51" s="2396" t="s">
        <v>151</v>
      </c>
      <c r="D51" s="2353" t="s">
        <v>92</v>
      </c>
      <c r="E51" s="2397"/>
      <c r="F51" s="2354">
        <v>3.0</v>
      </c>
      <c r="G51" s="2398" t="s">
        <v>30</v>
      </c>
      <c r="H51" s="98"/>
      <c r="I51" s="2356">
        <v>150.0</v>
      </c>
      <c r="J51" s="2387">
        <f t="shared" si="7"/>
        <v>450</v>
      </c>
      <c r="K51" s="98"/>
      <c r="L51" s="2309"/>
      <c r="M51" s="2309"/>
      <c r="N51" s="2357" t="s">
        <v>585</v>
      </c>
    </row>
    <row r="52">
      <c r="A52" s="33"/>
      <c r="B52" s="142"/>
      <c r="C52" s="2435" t="s">
        <v>157</v>
      </c>
      <c r="D52" s="2436" t="s">
        <v>503</v>
      </c>
      <c r="E52" s="2437"/>
      <c r="F52" s="2438">
        <v>4.0</v>
      </c>
      <c r="G52" s="2376" t="s">
        <v>30</v>
      </c>
      <c r="H52" s="110"/>
      <c r="I52" s="2439">
        <v>150.0</v>
      </c>
      <c r="J52" s="2440">
        <f t="shared" si="7"/>
        <v>600</v>
      </c>
      <c r="K52" s="110"/>
      <c r="L52" s="2309"/>
      <c r="M52" s="2309"/>
      <c r="N52" s="2357" t="s">
        <v>594</v>
      </c>
    </row>
    <row r="53">
      <c r="A53" s="33"/>
      <c r="B53" s="142"/>
      <c r="C53" s="2301" t="s">
        <v>27</v>
      </c>
      <c r="D53" s="2302" t="s">
        <v>63</v>
      </c>
      <c r="E53" s="2303"/>
      <c r="F53" s="2304">
        <v>4.0</v>
      </c>
      <c r="G53" s="2305" t="s">
        <v>73</v>
      </c>
      <c r="H53" s="2306" t="s">
        <v>122</v>
      </c>
      <c r="I53" s="2307"/>
      <c r="J53" s="2386"/>
      <c r="K53" s="2308">
        <f>Sum(J53:J56)</f>
        <v>1200</v>
      </c>
      <c r="L53" s="2309"/>
      <c r="M53" s="2309"/>
      <c r="N53" s="2310"/>
    </row>
    <row r="54">
      <c r="A54" s="33"/>
      <c r="B54" s="142"/>
      <c r="C54" s="2441" t="s">
        <v>176</v>
      </c>
      <c r="D54" s="2374" t="s">
        <v>503</v>
      </c>
      <c r="E54" s="2374"/>
      <c r="F54" s="2375">
        <v>4.0</v>
      </c>
      <c r="G54" s="2442" t="s">
        <v>73</v>
      </c>
      <c r="H54" s="98"/>
      <c r="I54" s="2377">
        <v>150.0</v>
      </c>
      <c r="J54" s="2378">
        <f>I54*F54</f>
        <v>600</v>
      </c>
      <c r="K54" s="98"/>
      <c r="L54" s="2309"/>
      <c r="M54" s="2309"/>
      <c r="N54" s="2357" t="s">
        <v>594</v>
      </c>
    </row>
    <row r="55">
      <c r="A55" s="33"/>
      <c r="B55" s="142"/>
      <c r="C55" s="2311" t="s">
        <v>31</v>
      </c>
      <c r="D55" s="2317" t="s">
        <v>589</v>
      </c>
      <c r="E55" s="2321"/>
      <c r="F55" s="2318">
        <v>4.0</v>
      </c>
      <c r="G55" s="2319" t="s">
        <v>73</v>
      </c>
      <c r="H55" s="98"/>
      <c r="I55" s="2320"/>
      <c r="J55" s="2409"/>
      <c r="K55" s="98"/>
      <c r="L55" s="2309"/>
      <c r="M55" s="2309"/>
      <c r="N55" s="2310"/>
    </row>
    <row r="56">
      <c r="A56" s="56"/>
      <c r="B56" s="182"/>
      <c r="C56" s="2322" t="s">
        <v>38</v>
      </c>
      <c r="D56" s="2323" t="s">
        <v>92</v>
      </c>
      <c r="E56" s="2324"/>
      <c r="F56" s="2325">
        <v>4.0</v>
      </c>
      <c r="G56" s="2326" t="s">
        <v>73</v>
      </c>
      <c r="H56" s="110"/>
      <c r="I56" s="2327">
        <v>150.0</v>
      </c>
      <c r="J56" s="2401">
        <f>I56*F56</f>
        <v>600</v>
      </c>
      <c r="K56" s="110"/>
      <c r="L56" s="2309"/>
      <c r="M56" s="2309"/>
      <c r="N56" s="2357" t="s">
        <v>585</v>
      </c>
    </row>
    <row r="57">
      <c r="A57" s="341" t="s">
        <v>55</v>
      </c>
      <c r="B57" s="1585">
        <v>46062.0</v>
      </c>
      <c r="C57" s="2301" t="s">
        <v>27</v>
      </c>
      <c r="D57" s="2302" t="s">
        <v>63</v>
      </c>
      <c r="E57" s="2303"/>
      <c r="F57" s="2304">
        <v>4.0</v>
      </c>
      <c r="G57" s="2305" t="s">
        <v>73</v>
      </c>
      <c r="H57" s="2306" t="s">
        <v>122</v>
      </c>
      <c r="I57" s="2307"/>
      <c r="J57" s="2386"/>
      <c r="K57" s="2308">
        <f>Sum(J57:J60)</f>
        <v>1700</v>
      </c>
      <c r="L57" s="2309"/>
      <c r="M57" s="2309"/>
      <c r="N57" s="2310"/>
      <c r="O57" s="241"/>
    </row>
    <row r="58">
      <c r="A58" s="33"/>
      <c r="B58" s="142"/>
      <c r="C58" s="2419" t="s">
        <v>176</v>
      </c>
      <c r="D58" s="2340" t="s">
        <v>43</v>
      </c>
      <c r="E58" s="2340"/>
      <c r="F58" s="2342">
        <v>4.0</v>
      </c>
      <c r="G58" s="2443" t="s">
        <v>73</v>
      </c>
      <c r="H58" s="98"/>
      <c r="I58" s="2344">
        <v>200.0</v>
      </c>
      <c r="J58" s="2420">
        <f>I58*F58</f>
        <v>800</v>
      </c>
      <c r="K58" s="98"/>
      <c r="L58" s="2309"/>
      <c r="M58" s="2309"/>
      <c r="N58" s="2357" t="s">
        <v>588</v>
      </c>
    </row>
    <row r="59">
      <c r="A59" s="33"/>
      <c r="B59" s="142"/>
      <c r="C59" s="2311" t="s">
        <v>31</v>
      </c>
      <c r="D59" s="2317" t="s">
        <v>567</v>
      </c>
      <c r="E59" s="2321"/>
      <c r="F59" s="2318">
        <v>4.0</v>
      </c>
      <c r="G59" s="2319" t="s">
        <v>73</v>
      </c>
      <c r="H59" s="98"/>
      <c r="I59" s="2320"/>
      <c r="J59" s="2409"/>
      <c r="K59" s="98"/>
      <c r="L59" s="2309"/>
      <c r="M59" s="2309"/>
      <c r="N59" s="2310"/>
    </row>
    <row r="60">
      <c r="A60" s="56"/>
      <c r="B60" s="182"/>
      <c r="C60" s="2345" t="s">
        <v>38</v>
      </c>
      <c r="D60" s="2346" t="s">
        <v>471</v>
      </c>
      <c r="E60" s="2347"/>
      <c r="F60" s="2348">
        <v>3.0</v>
      </c>
      <c r="G60" s="2364" t="s">
        <v>73</v>
      </c>
      <c r="H60" s="110"/>
      <c r="I60" s="2350">
        <v>300.0</v>
      </c>
      <c r="J60" s="2395">
        <f>I60*F60</f>
        <v>900</v>
      </c>
      <c r="K60" s="110"/>
      <c r="L60" s="2309"/>
      <c r="M60" s="2309"/>
      <c r="N60" s="2310"/>
    </row>
    <row r="61">
      <c r="N61" s="2292"/>
    </row>
    <row r="62">
      <c r="N62" s="2292"/>
    </row>
    <row r="63">
      <c r="N63" s="2292"/>
    </row>
    <row r="64">
      <c r="N64" s="2292"/>
    </row>
    <row r="65">
      <c r="N65" s="2292"/>
    </row>
    <row r="66">
      <c r="N66" s="2292"/>
    </row>
    <row r="67">
      <c r="N67" s="2292"/>
    </row>
    <row r="68">
      <c r="N68" s="2292"/>
    </row>
    <row r="69">
      <c r="N69" s="2292"/>
    </row>
    <row r="70">
      <c r="N70" s="2292"/>
    </row>
    <row r="71">
      <c r="N71" s="2292"/>
    </row>
    <row r="72">
      <c r="N72" s="2292"/>
    </row>
    <row r="73">
      <c r="N73" s="2292"/>
    </row>
    <row r="74">
      <c r="N74" s="2292"/>
    </row>
    <row r="75">
      <c r="N75" s="2292"/>
    </row>
    <row r="76">
      <c r="N76" s="2292"/>
    </row>
    <row r="77">
      <c r="N77" s="2292"/>
    </row>
    <row r="78">
      <c r="N78" s="2292"/>
    </row>
    <row r="79">
      <c r="N79" s="2292"/>
    </row>
    <row r="80">
      <c r="N80" s="2292"/>
    </row>
    <row r="81">
      <c r="N81" s="2292"/>
    </row>
    <row r="82">
      <c r="N82" s="2292"/>
    </row>
    <row r="83">
      <c r="N83" s="2292"/>
    </row>
    <row r="84">
      <c r="N84" s="2292"/>
    </row>
    <row r="85">
      <c r="N85" s="2292"/>
    </row>
    <row r="86">
      <c r="N86" s="2292"/>
    </row>
    <row r="87">
      <c r="N87" s="2292"/>
    </row>
    <row r="88">
      <c r="N88" s="2292"/>
    </row>
    <row r="89">
      <c r="N89" s="2292"/>
    </row>
    <row r="90">
      <c r="N90" s="2292"/>
    </row>
    <row r="91">
      <c r="N91" s="2292"/>
    </row>
    <row r="92">
      <c r="N92" s="2292"/>
    </row>
    <row r="93">
      <c r="N93" s="2292"/>
    </row>
    <row r="94">
      <c r="N94" s="2292"/>
    </row>
    <row r="95">
      <c r="N95" s="2292"/>
    </row>
    <row r="96">
      <c r="N96" s="2292"/>
    </row>
    <row r="97">
      <c r="N97" s="2292"/>
    </row>
    <row r="98">
      <c r="N98" s="2292"/>
    </row>
    <row r="99">
      <c r="N99" s="2292"/>
    </row>
    <row r="100">
      <c r="N100" s="2292"/>
    </row>
    <row r="101">
      <c r="N101" s="2292"/>
    </row>
    <row r="102">
      <c r="N102" s="2292"/>
    </row>
    <row r="103">
      <c r="N103" s="2292"/>
    </row>
    <row r="104">
      <c r="N104" s="2292"/>
    </row>
    <row r="105">
      <c r="N105" s="2292"/>
    </row>
    <row r="106">
      <c r="N106" s="2292"/>
    </row>
    <row r="107">
      <c r="N107" s="2292"/>
    </row>
    <row r="108">
      <c r="N108" s="2292"/>
    </row>
    <row r="109">
      <c r="N109" s="2292"/>
    </row>
    <row r="110">
      <c r="N110" s="2292"/>
    </row>
    <row r="111">
      <c r="N111" s="2292"/>
    </row>
    <row r="112">
      <c r="N112" s="2292"/>
    </row>
    <row r="113">
      <c r="N113" s="2292"/>
    </row>
    <row r="114">
      <c r="N114" s="2292"/>
    </row>
    <row r="115">
      <c r="N115" s="2292"/>
    </row>
    <row r="116">
      <c r="N116" s="2292"/>
    </row>
    <row r="117">
      <c r="N117" s="2292"/>
    </row>
    <row r="118">
      <c r="N118" s="2292"/>
    </row>
    <row r="119">
      <c r="N119" s="2292"/>
    </row>
    <row r="120">
      <c r="N120" s="2292"/>
    </row>
    <row r="121">
      <c r="N121" s="2292"/>
    </row>
    <row r="122">
      <c r="N122" s="2292"/>
    </row>
    <row r="123">
      <c r="N123" s="2292"/>
    </row>
    <row r="124">
      <c r="N124" s="2292"/>
    </row>
    <row r="125">
      <c r="N125" s="2292"/>
    </row>
    <row r="126">
      <c r="N126" s="2292"/>
    </row>
    <row r="127">
      <c r="N127" s="2292"/>
    </row>
    <row r="128">
      <c r="N128" s="2292"/>
    </row>
    <row r="129">
      <c r="N129" s="2292"/>
    </row>
    <row r="130">
      <c r="N130" s="2292"/>
    </row>
    <row r="131">
      <c r="N131" s="2292"/>
    </row>
    <row r="132">
      <c r="N132" s="2292"/>
    </row>
    <row r="133">
      <c r="N133" s="2292"/>
    </row>
    <row r="134">
      <c r="N134" s="2292"/>
    </row>
    <row r="135">
      <c r="N135" s="2292"/>
    </row>
    <row r="136">
      <c r="N136" s="2292"/>
    </row>
    <row r="137">
      <c r="N137" s="2292"/>
    </row>
    <row r="138">
      <c r="N138" s="2292"/>
    </row>
    <row r="139">
      <c r="N139" s="2292"/>
    </row>
    <row r="140">
      <c r="N140" s="2292"/>
    </row>
    <row r="141">
      <c r="N141" s="2292"/>
    </row>
    <row r="142">
      <c r="N142" s="2292"/>
    </row>
    <row r="143">
      <c r="N143" s="2292"/>
    </row>
    <row r="144">
      <c r="N144" s="2292"/>
    </row>
    <row r="145">
      <c r="N145" s="2292"/>
    </row>
    <row r="146">
      <c r="N146" s="2292"/>
    </row>
    <row r="147">
      <c r="N147" s="2292"/>
    </row>
    <row r="148">
      <c r="N148" s="2292"/>
    </row>
    <row r="149">
      <c r="N149" s="2292"/>
    </row>
    <row r="150">
      <c r="N150" s="2292"/>
    </row>
    <row r="151">
      <c r="N151" s="2292"/>
    </row>
    <row r="152">
      <c r="N152" s="2292"/>
    </row>
    <row r="153">
      <c r="N153" s="2292"/>
    </row>
    <row r="154">
      <c r="N154" s="2292"/>
    </row>
    <row r="155">
      <c r="N155" s="2292"/>
    </row>
    <row r="156">
      <c r="N156" s="2292"/>
    </row>
    <row r="157">
      <c r="N157" s="2292"/>
    </row>
    <row r="158">
      <c r="N158" s="2292"/>
    </row>
    <row r="159">
      <c r="N159" s="2292"/>
    </row>
    <row r="160">
      <c r="N160" s="2292"/>
    </row>
    <row r="161">
      <c r="N161" s="2292"/>
    </row>
    <row r="162">
      <c r="N162" s="2292"/>
    </row>
    <row r="163">
      <c r="N163" s="2292"/>
    </row>
    <row r="164">
      <c r="N164" s="2292"/>
    </row>
    <row r="165">
      <c r="N165" s="2292"/>
    </row>
    <row r="166">
      <c r="N166" s="2292"/>
    </row>
    <row r="167">
      <c r="N167" s="2292"/>
    </row>
    <row r="168">
      <c r="N168" s="2292"/>
    </row>
    <row r="169">
      <c r="N169" s="2292"/>
    </row>
    <row r="170">
      <c r="N170" s="2292"/>
    </row>
    <row r="171">
      <c r="N171" s="2292"/>
    </row>
    <row r="172">
      <c r="N172" s="2292"/>
    </row>
    <row r="173">
      <c r="N173" s="2292"/>
    </row>
    <row r="174">
      <c r="N174" s="2292"/>
    </row>
    <row r="175">
      <c r="N175" s="2292"/>
    </row>
    <row r="176">
      <c r="N176" s="2292"/>
    </row>
    <row r="177">
      <c r="N177" s="2292"/>
    </row>
    <row r="178">
      <c r="N178" s="2292"/>
    </row>
    <row r="179">
      <c r="N179" s="2292"/>
    </row>
    <row r="180">
      <c r="N180" s="2292"/>
    </row>
    <row r="181">
      <c r="N181" s="2292"/>
    </row>
    <row r="182">
      <c r="N182" s="2292"/>
    </row>
    <row r="183">
      <c r="N183" s="2292"/>
    </row>
    <row r="184">
      <c r="N184" s="2292"/>
    </row>
    <row r="185">
      <c r="N185" s="2292"/>
    </row>
    <row r="186">
      <c r="N186" s="2292"/>
    </row>
    <row r="187">
      <c r="N187" s="2292"/>
    </row>
    <row r="188">
      <c r="N188" s="2292"/>
    </row>
    <row r="189">
      <c r="N189" s="2292"/>
    </row>
    <row r="190">
      <c r="N190" s="2292"/>
    </row>
    <row r="191">
      <c r="N191" s="2292"/>
    </row>
    <row r="192">
      <c r="N192" s="2292"/>
    </row>
    <row r="193">
      <c r="N193" s="2292"/>
    </row>
    <row r="194">
      <c r="N194" s="2292"/>
    </row>
    <row r="195">
      <c r="N195" s="2292"/>
    </row>
    <row r="196">
      <c r="N196" s="2292"/>
    </row>
    <row r="197">
      <c r="N197" s="2292"/>
    </row>
    <row r="198">
      <c r="N198" s="2292"/>
    </row>
    <row r="199">
      <c r="N199" s="2292"/>
    </row>
    <row r="200">
      <c r="N200" s="2292"/>
    </row>
    <row r="201">
      <c r="N201" s="2292"/>
    </row>
    <row r="202">
      <c r="N202" s="2292"/>
    </row>
    <row r="203">
      <c r="N203" s="2292"/>
    </row>
    <row r="204">
      <c r="N204" s="2292"/>
    </row>
    <row r="205">
      <c r="N205" s="2292"/>
    </row>
    <row r="206">
      <c r="N206" s="2292"/>
    </row>
    <row r="207">
      <c r="N207" s="2292"/>
    </row>
    <row r="208">
      <c r="N208" s="2292"/>
    </row>
    <row r="209">
      <c r="N209" s="2292"/>
    </row>
    <row r="210">
      <c r="N210" s="2292"/>
    </row>
    <row r="211">
      <c r="N211" s="2292"/>
    </row>
    <row r="212">
      <c r="N212" s="2292"/>
    </row>
    <row r="213">
      <c r="N213" s="2292"/>
    </row>
    <row r="214">
      <c r="N214" s="2292"/>
    </row>
    <row r="215">
      <c r="N215" s="2292"/>
    </row>
    <row r="216">
      <c r="N216" s="2292"/>
    </row>
    <row r="217">
      <c r="N217" s="2292"/>
    </row>
    <row r="218">
      <c r="N218" s="2292"/>
    </row>
    <row r="219">
      <c r="N219" s="2292"/>
    </row>
    <row r="220">
      <c r="N220" s="2292"/>
    </row>
    <row r="221">
      <c r="N221" s="2292"/>
    </row>
    <row r="222">
      <c r="N222" s="2292"/>
    </row>
    <row r="223">
      <c r="N223" s="2292"/>
    </row>
    <row r="224">
      <c r="N224" s="2292"/>
    </row>
    <row r="225">
      <c r="N225" s="2292"/>
    </row>
    <row r="226">
      <c r="N226" s="2292"/>
    </row>
    <row r="227">
      <c r="N227" s="2292"/>
    </row>
    <row r="228">
      <c r="N228" s="2292"/>
    </row>
    <row r="229">
      <c r="N229" s="2292"/>
    </row>
    <row r="230">
      <c r="N230" s="2292"/>
    </row>
    <row r="231">
      <c r="N231" s="2292"/>
    </row>
    <row r="232">
      <c r="N232" s="2292"/>
    </row>
    <row r="233">
      <c r="N233" s="2292"/>
    </row>
    <row r="234">
      <c r="N234" s="2292"/>
    </row>
    <row r="235">
      <c r="N235" s="2292"/>
    </row>
    <row r="236">
      <c r="N236" s="2292"/>
    </row>
    <row r="237">
      <c r="N237" s="2292"/>
    </row>
    <row r="238">
      <c r="N238" s="2292"/>
    </row>
    <row r="239">
      <c r="N239" s="2292"/>
    </row>
    <row r="240">
      <c r="N240" s="2292"/>
    </row>
    <row r="241">
      <c r="N241" s="2292"/>
    </row>
    <row r="242">
      <c r="N242" s="2292"/>
    </row>
    <row r="243">
      <c r="N243" s="2292"/>
    </row>
    <row r="244">
      <c r="N244" s="2292"/>
    </row>
    <row r="245">
      <c r="N245" s="2292"/>
    </row>
    <row r="246">
      <c r="N246" s="2292"/>
    </row>
    <row r="247">
      <c r="N247" s="2292"/>
    </row>
    <row r="248">
      <c r="N248" s="2292"/>
    </row>
    <row r="249">
      <c r="N249" s="2292"/>
    </row>
    <row r="250">
      <c r="N250" s="2292"/>
    </row>
    <row r="251">
      <c r="N251" s="2292"/>
    </row>
    <row r="252">
      <c r="N252" s="2292"/>
    </row>
    <row r="253">
      <c r="N253" s="2292"/>
    </row>
    <row r="254">
      <c r="N254" s="2292"/>
    </row>
    <row r="255">
      <c r="N255" s="2292"/>
    </row>
    <row r="256">
      <c r="N256" s="2292"/>
    </row>
    <row r="257">
      <c r="N257" s="2292"/>
    </row>
    <row r="258">
      <c r="N258" s="2292"/>
    </row>
    <row r="259">
      <c r="N259" s="2292"/>
    </row>
    <row r="260">
      <c r="N260" s="2292"/>
    </row>
    <row r="261">
      <c r="N261" s="2292"/>
    </row>
    <row r="262">
      <c r="N262" s="2292"/>
    </row>
    <row r="263">
      <c r="N263" s="2292"/>
    </row>
    <row r="264">
      <c r="N264" s="2292"/>
    </row>
    <row r="265">
      <c r="N265" s="2292"/>
    </row>
    <row r="266">
      <c r="N266" s="2292"/>
    </row>
    <row r="267">
      <c r="N267" s="2292"/>
    </row>
    <row r="268">
      <c r="N268" s="2292"/>
    </row>
    <row r="269">
      <c r="N269" s="2292"/>
    </row>
    <row r="270">
      <c r="N270" s="2292"/>
    </row>
    <row r="271">
      <c r="N271" s="2292"/>
    </row>
    <row r="272">
      <c r="N272" s="2292"/>
    </row>
    <row r="273">
      <c r="N273" s="2292"/>
    </row>
    <row r="274">
      <c r="N274" s="2292"/>
    </row>
    <row r="275">
      <c r="N275" s="2292"/>
    </row>
    <row r="276">
      <c r="N276" s="2292"/>
    </row>
    <row r="277">
      <c r="N277" s="2292"/>
    </row>
    <row r="278">
      <c r="N278" s="2292"/>
    </row>
    <row r="279">
      <c r="N279" s="2292"/>
    </row>
    <row r="280">
      <c r="N280" s="2292"/>
    </row>
    <row r="281">
      <c r="N281" s="2292"/>
    </row>
    <row r="282">
      <c r="N282" s="2292"/>
    </row>
    <row r="283">
      <c r="N283" s="2292"/>
    </row>
    <row r="284">
      <c r="N284" s="2292"/>
    </row>
    <row r="285">
      <c r="N285" s="2292"/>
    </row>
    <row r="286">
      <c r="N286" s="2292"/>
    </row>
    <row r="287">
      <c r="N287" s="2292"/>
    </row>
    <row r="288">
      <c r="N288" s="2292"/>
    </row>
    <row r="289">
      <c r="N289" s="2292"/>
    </row>
    <row r="290">
      <c r="N290" s="2292"/>
    </row>
    <row r="291">
      <c r="N291" s="2292"/>
    </row>
    <row r="292">
      <c r="N292" s="2292"/>
    </row>
    <row r="293">
      <c r="N293" s="2292"/>
    </row>
    <row r="294">
      <c r="N294" s="2292"/>
    </row>
    <row r="295">
      <c r="N295" s="2292"/>
    </row>
    <row r="296">
      <c r="N296" s="2292"/>
    </row>
    <row r="297">
      <c r="N297" s="2292"/>
    </row>
    <row r="298">
      <c r="N298" s="2292"/>
    </row>
    <row r="299">
      <c r="N299" s="2292"/>
    </row>
    <row r="300">
      <c r="N300" s="2292"/>
    </row>
    <row r="301">
      <c r="N301" s="2292"/>
    </row>
    <row r="302">
      <c r="N302" s="2292"/>
    </row>
    <row r="303">
      <c r="N303" s="2292"/>
    </row>
    <row r="304">
      <c r="N304" s="2292"/>
    </row>
    <row r="305">
      <c r="N305" s="2292"/>
    </row>
    <row r="306">
      <c r="N306" s="2292"/>
    </row>
    <row r="307">
      <c r="N307" s="2292"/>
    </row>
    <row r="308">
      <c r="N308" s="2292"/>
    </row>
    <row r="309">
      <c r="N309" s="2292"/>
    </row>
    <row r="310">
      <c r="N310" s="2292"/>
    </row>
    <row r="311">
      <c r="N311" s="2292"/>
    </row>
    <row r="312">
      <c r="N312" s="2292"/>
    </row>
    <row r="313">
      <c r="N313" s="2292"/>
    </row>
    <row r="314">
      <c r="N314" s="2292"/>
    </row>
    <row r="315">
      <c r="N315" s="2292"/>
    </row>
    <row r="316">
      <c r="N316" s="2292"/>
    </row>
    <row r="317">
      <c r="N317" s="2292"/>
    </row>
    <row r="318">
      <c r="N318" s="2292"/>
    </row>
    <row r="319">
      <c r="N319" s="2292"/>
    </row>
    <row r="320">
      <c r="N320" s="2292"/>
    </row>
    <row r="321">
      <c r="N321" s="2292"/>
    </row>
    <row r="322">
      <c r="N322" s="2292"/>
    </row>
    <row r="323">
      <c r="N323" s="2292"/>
    </row>
    <row r="324">
      <c r="N324" s="2292"/>
    </row>
    <row r="325">
      <c r="N325" s="2292"/>
    </row>
    <row r="326">
      <c r="N326" s="2292"/>
    </row>
    <row r="327">
      <c r="N327" s="2292"/>
    </row>
    <row r="328">
      <c r="N328" s="2292"/>
    </row>
    <row r="329">
      <c r="N329" s="2292"/>
    </row>
    <row r="330">
      <c r="N330" s="2292"/>
    </row>
    <row r="331">
      <c r="N331" s="2292"/>
    </row>
    <row r="332">
      <c r="N332" s="2292"/>
    </row>
    <row r="333">
      <c r="N333" s="2292"/>
    </row>
    <row r="334">
      <c r="N334" s="2292"/>
    </row>
    <row r="335">
      <c r="N335" s="2292"/>
    </row>
    <row r="336">
      <c r="N336" s="2292"/>
    </row>
    <row r="337">
      <c r="N337" s="2292"/>
    </row>
    <row r="338">
      <c r="N338" s="2292"/>
    </row>
    <row r="339">
      <c r="N339" s="2292"/>
    </row>
    <row r="340">
      <c r="N340" s="2292"/>
    </row>
    <row r="341">
      <c r="N341" s="2292"/>
    </row>
    <row r="342">
      <c r="N342" s="2292"/>
    </row>
    <row r="343">
      <c r="N343" s="2292"/>
    </row>
    <row r="344">
      <c r="N344" s="2292"/>
    </row>
    <row r="345">
      <c r="N345" s="2292"/>
    </row>
    <row r="346">
      <c r="N346" s="2292"/>
    </row>
    <row r="347">
      <c r="N347" s="2292"/>
    </row>
    <row r="348">
      <c r="N348" s="2292"/>
    </row>
    <row r="349">
      <c r="N349" s="2292"/>
    </row>
    <row r="350">
      <c r="N350" s="2292"/>
    </row>
    <row r="351">
      <c r="N351" s="2292"/>
    </row>
    <row r="352">
      <c r="N352" s="2292"/>
    </row>
    <row r="353">
      <c r="N353" s="2292"/>
    </row>
    <row r="354">
      <c r="N354" s="2292"/>
    </row>
    <row r="355">
      <c r="N355" s="2292"/>
    </row>
    <row r="356">
      <c r="N356" s="2292"/>
    </row>
    <row r="357">
      <c r="N357" s="2292"/>
    </row>
    <row r="358">
      <c r="N358" s="2292"/>
    </row>
    <row r="359">
      <c r="N359" s="2292"/>
    </row>
    <row r="360">
      <c r="N360" s="2292"/>
    </row>
    <row r="361">
      <c r="N361" s="2292"/>
    </row>
    <row r="362">
      <c r="N362" s="2292"/>
    </row>
    <row r="363">
      <c r="N363" s="2292"/>
    </row>
    <row r="364">
      <c r="N364" s="2292"/>
    </row>
    <row r="365">
      <c r="N365" s="2292"/>
    </row>
    <row r="366">
      <c r="N366" s="2292"/>
    </row>
    <row r="367">
      <c r="N367" s="2292"/>
    </row>
    <row r="368">
      <c r="N368" s="2292"/>
    </row>
    <row r="369">
      <c r="N369" s="2292"/>
    </row>
    <row r="370">
      <c r="N370" s="2292"/>
    </row>
    <row r="371">
      <c r="N371" s="2292"/>
    </row>
    <row r="372">
      <c r="N372" s="2292"/>
    </row>
    <row r="373">
      <c r="N373" s="2292"/>
    </row>
    <row r="374">
      <c r="N374" s="2292"/>
    </row>
    <row r="375">
      <c r="N375" s="2292"/>
    </row>
    <row r="376">
      <c r="N376" s="2292"/>
    </row>
    <row r="377">
      <c r="N377" s="2292"/>
    </row>
    <row r="378">
      <c r="N378" s="2292"/>
    </row>
    <row r="379">
      <c r="N379" s="2292"/>
    </row>
    <row r="380">
      <c r="N380" s="2292"/>
    </row>
    <row r="381">
      <c r="N381" s="2292"/>
    </row>
    <row r="382">
      <c r="N382" s="2292"/>
    </row>
    <row r="383">
      <c r="N383" s="2292"/>
    </row>
    <row r="384">
      <c r="N384" s="2292"/>
    </row>
    <row r="385">
      <c r="N385" s="2292"/>
    </row>
    <row r="386">
      <c r="N386" s="2292"/>
    </row>
    <row r="387">
      <c r="N387" s="2292"/>
    </row>
    <row r="388">
      <c r="N388" s="2292"/>
    </row>
    <row r="389">
      <c r="N389" s="2292"/>
    </row>
    <row r="390">
      <c r="N390" s="2292"/>
    </row>
    <row r="391">
      <c r="N391" s="2292"/>
    </row>
    <row r="392">
      <c r="N392" s="2292"/>
    </row>
    <row r="393">
      <c r="N393" s="2292"/>
    </row>
    <row r="394">
      <c r="N394" s="2292"/>
    </row>
    <row r="395">
      <c r="N395" s="2292"/>
    </row>
    <row r="396">
      <c r="N396" s="2292"/>
    </row>
    <row r="397">
      <c r="N397" s="2292"/>
    </row>
    <row r="398">
      <c r="N398" s="2292"/>
    </row>
    <row r="399">
      <c r="N399" s="2292"/>
    </row>
    <row r="400">
      <c r="N400" s="2292"/>
    </row>
    <row r="401">
      <c r="N401" s="2292"/>
    </row>
    <row r="402">
      <c r="N402" s="2292"/>
    </row>
    <row r="403">
      <c r="N403" s="2292"/>
    </row>
    <row r="404">
      <c r="N404" s="2292"/>
    </row>
    <row r="405">
      <c r="N405" s="2292"/>
    </row>
    <row r="406">
      <c r="N406" s="2292"/>
    </row>
    <row r="407">
      <c r="N407" s="2292"/>
    </row>
    <row r="408">
      <c r="N408" s="2292"/>
    </row>
    <row r="409">
      <c r="N409" s="2292"/>
    </row>
    <row r="410">
      <c r="N410" s="2292"/>
    </row>
    <row r="411">
      <c r="N411" s="2292"/>
    </row>
    <row r="412">
      <c r="N412" s="2292"/>
    </row>
    <row r="413">
      <c r="N413" s="2292"/>
    </row>
    <row r="414">
      <c r="N414" s="2292"/>
    </row>
    <row r="415">
      <c r="N415" s="2292"/>
    </row>
    <row r="416">
      <c r="N416" s="2292"/>
    </row>
    <row r="417">
      <c r="N417" s="2292"/>
    </row>
    <row r="418">
      <c r="N418" s="2292"/>
    </row>
    <row r="419">
      <c r="N419" s="2292"/>
    </row>
    <row r="420">
      <c r="N420" s="2292"/>
    </row>
    <row r="421">
      <c r="N421" s="2292"/>
    </row>
    <row r="422">
      <c r="N422" s="2292"/>
    </row>
    <row r="423">
      <c r="N423" s="2292"/>
    </row>
    <row r="424">
      <c r="N424" s="2292"/>
    </row>
    <row r="425">
      <c r="N425" s="2292"/>
    </row>
    <row r="426">
      <c r="N426" s="2292"/>
    </row>
    <row r="427">
      <c r="N427" s="2292"/>
    </row>
    <row r="428">
      <c r="N428" s="2292"/>
    </row>
    <row r="429">
      <c r="N429" s="2292"/>
    </row>
    <row r="430">
      <c r="N430" s="2292"/>
    </row>
    <row r="431">
      <c r="N431" s="2292"/>
    </row>
    <row r="432">
      <c r="N432" s="2292"/>
    </row>
    <row r="433">
      <c r="N433" s="2292"/>
    </row>
    <row r="434">
      <c r="N434" s="2292"/>
    </row>
    <row r="435">
      <c r="N435" s="2292"/>
    </row>
    <row r="436">
      <c r="N436" s="2292"/>
    </row>
    <row r="437">
      <c r="N437" s="2292"/>
    </row>
    <row r="438">
      <c r="N438" s="2292"/>
    </row>
    <row r="439">
      <c r="N439" s="2292"/>
    </row>
    <row r="440">
      <c r="N440" s="2292"/>
    </row>
    <row r="441">
      <c r="N441" s="2292"/>
    </row>
    <row r="442">
      <c r="N442" s="2292"/>
    </row>
    <row r="443">
      <c r="N443" s="2292"/>
    </row>
    <row r="444">
      <c r="N444" s="2292"/>
    </row>
    <row r="445">
      <c r="N445" s="2292"/>
    </row>
    <row r="446">
      <c r="N446" s="2292"/>
    </row>
    <row r="447">
      <c r="N447" s="2292"/>
    </row>
    <row r="448">
      <c r="N448" s="2292"/>
    </row>
    <row r="449">
      <c r="N449" s="2292"/>
    </row>
    <row r="450">
      <c r="N450" s="2292"/>
    </row>
    <row r="451">
      <c r="N451" s="2292"/>
    </row>
    <row r="452">
      <c r="N452" s="2292"/>
    </row>
    <row r="453">
      <c r="N453" s="2292"/>
    </row>
    <row r="454">
      <c r="N454" s="2292"/>
    </row>
    <row r="455">
      <c r="N455" s="2292"/>
    </row>
    <row r="456">
      <c r="N456" s="2292"/>
    </row>
    <row r="457">
      <c r="N457" s="2292"/>
    </row>
    <row r="458">
      <c r="N458" s="2292"/>
    </row>
    <row r="459">
      <c r="N459" s="2292"/>
    </row>
    <row r="460">
      <c r="N460" s="2292"/>
    </row>
    <row r="461">
      <c r="N461" s="2292"/>
    </row>
    <row r="462">
      <c r="N462" s="2292"/>
    </row>
    <row r="463">
      <c r="N463" s="2292"/>
    </row>
    <row r="464">
      <c r="N464" s="2292"/>
    </row>
    <row r="465">
      <c r="N465" s="2292"/>
    </row>
    <row r="466">
      <c r="N466" s="2292"/>
    </row>
    <row r="467">
      <c r="N467" s="2292"/>
    </row>
    <row r="468">
      <c r="N468" s="2292"/>
    </row>
    <row r="469">
      <c r="N469" s="2292"/>
    </row>
    <row r="470">
      <c r="N470" s="2292"/>
    </row>
    <row r="471">
      <c r="N471" s="2292"/>
    </row>
    <row r="472">
      <c r="N472" s="2292"/>
    </row>
    <row r="473">
      <c r="N473" s="2292"/>
    </row>
    <row r="474">
      <c r="N474" s="2292"/>
    </row>
    <row r="475">
      <c r="N475" s="2292"/>
    </row>
    <row r="476">
      <c r="N476" s="2292"/>
    </row>
    <row r="477">
      <c r="N477" s="2292"/>
    </row>
    <row r="478">
      <c r="N478" s="2292"/>
    </row>
    <row r="479">
      <c r="N479" s="2292"/>
    </row>
    <row r="480">
      <c r="N480" s="2292"/>
    </row>
    <row r="481">
      <c r="N481" s="2292"/>
    </row>
    <row r="482">
      <c r="N482" s="2292"/>
    </row>
    <row r="483">
      <c r="N483" s="2292"/>
    </row>
    <row r="484">
      <c r="N484" s="2292"/>
    </row>
    <row r="485">
      <c r="N485" s="2292"/>
    </row>
    <row r="486">
      <c r="N486" s="2292"/>
    </row>
    <row r="487">
      <c r="N487" s="2292"/>
    </row>
    <row r="488">
      <c r="N488" s="2292"/>
    </row>
    <row r="489">
      <c r="N489" s="2292"/>
    </row>
    <row r="490">
      <c r="N490" s="2292"/>
    </row>
    <row r="491">
      <c r="N491" s="2292"/>
    </row>
    <row r="492">
      <c r="N492" s="2292"/>
    </row>
    <row r="493">
      <c r="N493" s="2292"/>
    </row>
    <row r="494">
      <c r="N494" s="2292"/>
    </row>
    <row r="495">
      <c r="N495" s="2292"/>
    </row>
    <row r="496">
      <c r="N496" s="2292"/>
    </row>
    <row r="497">
      <c r="N497" s="2292"/>
    </row>
    <row r="498">
      <c r="N498" s="2292"/>
    </row>
    <row r="499">
      <c r="N499" s="2292"/>
    </row>
    <row r="500">
      <c r="N500" s="2292"/>
    </row>
    <row r="501">
      <c r="N501" s="2292"/>
    </row>
    <row r="502">
      <c r="N502" s="2292"/>
    </row>
    <row r="503">
      <c r="N503" s="2292"/>
    </row>
    <row r="504">
      <c r="N504" s="2292"/>
    </row>
    <row r="505">
      <c r="N505" s="2292"/>
    </row>
    <row r="506">
      <c r="N506" s="2292"/>
    </row>
    <row r="507">
      <c r="N507" s="2292"/>
    </row>
    <row r="508">
      <c r="N508" s="2292"/>
    </row>
    <row r="509">
      <c r="N509" s="2292"/>
    </row>
    <row r="510">
      <c r="N510" s="2292"/>
    </row>
    <row r="511">
      <c r="N511" s="2292"/>
    </row>
    <row r="512">
      <c r="N512" s="2292"/>
    </row>
    <row r="513">
      <c r="N513" s="2292"/>
    </row>
    <row r="514">
      <c r="N514" s="2292"/>
    </row>
    <row r="515">
      <c r="N515" s="2292"/>
    </row>
    <row r="516">
      <c r="N516" s="2292"/>
    </row>
    <row r="517">
      <c r="N517" s="2292"/>
    </row>
    <row r="518">
      <c r="N518" s="2292"/>
    </row>
    <row r="519">
      <c r="N519" s="2292"/>
    </row>
    <row r="520">
      <c r="N520" s="2292"/>
    </row>
    <row r="521">
      <c r="N521" s="2292"/>
    </row>
    <row r="522">
      <c r="N522" s="2292"/>
    </row>
    <row r="523">
      <c r="N523" s="2292"/>
    </row>
    <row r="524">
      <c r="N524" s="2292"/>
    </row>
    <row r="525">
      <c r="N525" s="2292"/>
    </row>
    <row r="526">
      <c r="N526" s="2292"/>
    </row>
    <row r="527">
      <c r="N527" s="2292"/>
    </row>
    <row r="528">
      <c r="N528" s="2292"/>
    </row>
    <row r="529">
      <c r="N529" s="2292"/>
    </row>
    <row r="530">
      <c r="N530" s="2292"/>
    </row>
    <row r="531">
      <c r="N531" s="2292"/>
    </row>
    <row r="532">
      <c r="N532" s="2292"/>
    </row>
    <row r="533">
      <c r="N533" s="2292"/>
    </row>
    <row r="534">
      <c r="N534" s="2292"/>
    </row>
    <row r="535">
      <c r="N535" s="2292"/>
    </row>
    <row r="536">
      <c r="N536" s="2292"/>
    </row>
    <row r="537">
      <c r="N537" s="2292"/>
    </row>
    <row r="538">
      <c r="N538" s="2292"/>
    </row>
    <row r="539">
      <c r="N539" s="2292"/>
    </row>
    <row r="540">
      <c r="N540" s="2292"/>
    </row>
    <row r="541">
      <c r="N541" s="2292"/>
    </row>
    <row r="542">
      <c r="N542" s="2292"/>
    </row>
    <row r="543">
      <c r="N543" s="2292"/>
    </row>
    <row r="544">
      <c r="N544" s="2292"/>
    </row>
    <row r="545">
      <c r="N545" s="2292"/>
    </row>
    <row r="546">
      <c r="N546" s="2292"/>
    </row>
    <row r="547">
      <c r="N547" s="2292"/>
    </row>
    <row r="548">
      <c r="N548" s="2292"/>
    </row>
    <row r="549">
      <c r="N549" s="2292"/>
    </row>
    <row r="550">
      <c r="N550" s="2292"/>
    </row>
    <row r="551">
      <c r="N551" s="2292"/>
    </row>
    <row r="552">
      <c r="N552" s="2292"/>
    </row>
    <row r="553">
      <c r="N553" s="2292"/>
    </row>
    <row r="554">
      <c r="N554" s="2292"/>
    </row>
    <row r="555">
      <c r="N555" s="2292"/>
    </row>
    <row r="556">
      <c r="N556" s="2292"/>
    </row>
    <row r="557">
      <c r="N557" s="2292"/>
    </row>
    <row r="558">
      <c r="N558" s="2292"/>
    </row>
    <row r="559">
      <c r="N559" s="2292"/>
    </row>
    <row r="560">
      <c r="N560" s="2292"/>
    </row>
    <row r="561">
      <c r="N561" s="2292"/>
    </row>
    <row r="562">
      <c r="N562" s="2292"/>
    </row>
    <row r="563">
      <c r="N563" s="2292"/>
    </row>
    <row r="564">
      <c r="N564" s="2292"/>
    </row>
    <row r="565">
      <c r="N565" s="2292"/>
    </row>
    <row r="566">
      <c r="N566" s="2292"/>
    </row>
    <row r="567">
      <c r="N567" s="2292"/>
    </row>
    <row r="568">
      <c r="N568" s="2292"/>
    </row>
    <row r="569">
      <c r="N569" s="2292"/>
    </row>
    <row r="570">
      <c r="N570" s="2292"/>
    </row>
    <row r="571">
      <c r="N571" s="2292"/>
    </row>
    <row r="572">
      <c r="N572" s="2292"/>
    </row>
    <row r="573">
      <c r="N573" s="2292"/>
    </row>
    <row r="574">
      <c r="N574" s="2292"/>
    </row>
    <row r="575">
      <c r="N575" s="2292"/>
    </row>
    <row r="576">
      <c r="N576" s="2292"/>
    </row>
    <row r="577">
      <c r="N577" s="2292"/>
    </row>
    <row r="578">
      <c r="N578" s="2292"/>
    </row>
    <row r="579">
      <c r="N579" s="2292"/>
    </row>
    <row r="580">
      <c r="N580" s="2292"/>
    </row>
    <row r="581">
      <c r="N581" s="2292"/>
    </row>
    <row r="582">
      <c r="N582" s="2292"/>
    </row>
    <row r="583">
      <c r="N583" s="2292"/>
    </row>
    <row r="584">
      <c r="N584" s="2292"/>
    </row>
    <row r="585">
      <c r="N585" s="2292"/>
    </row>
    <row r="586">
      <c r="N586" s="2292"/>
    </row>
    <row r="587">
      <c r="N587" s="2292"/>
    </row>
    <row r="588">
      <c r="N588" s="2292"/>
    </row>
    <row r="589">
      <c r="N589" s="2292"/>
    </row>
    <row r="590">
      <c r="N590" s="2292"/>
    </row>
    <row r="591">
      <c r="N591" s="2292"/>
    </row>
    <row r="592">
      <c r="N592" s="2292"/>
    </row>
    <row r="593">
      <c r="N593" s="2292"/>
    </row>
    <row r="594">
      <c r="N594" s="2292"/>
    </row>
    <row r="595">
      <c r="N595" s="2292"/>
    </row>
    <row r="596">
      <c r="N596" s="2292"/>
    </row>
    <row r="597">
      <c r="N597" s="2292"/>
    </row>
    <row r="598">
      <c r="N598" s="2292"/>
    </row>
    <row r="599">
      <c r="N599" s="2292"/>
    </row>
    <row r="600">
      <c r="N600" s="2292"/>
    </row>
    <row r="601">
      <c r="N601" s="2292"/>
    </row>
    <row r="602">
      <c r="N602" s="2292"/>
    </row>
    <row r="603">
      <c r="N603" s="2292"/>
    </row>
    <row r="604">
      <c r="N604" s="2292"/>
    </row>
    <row r="605">
      <c r="N605" s="2292"/>
    </row>
    <row r="606">
      <c r="N606" s="2292"/>
    </row>
    <row r="607">
      <c r="N607" s="2292"/>
    </row>
    <row r="608">
      <c r="N608" s="2292"/>
    </row>
    <row r="609">
      <c r="N609" s="2292"/>
    </row>
    <row r="610">
      <c r="N610" s="2292"/>
    </row>
    <row r="611">
      <c r="N611" s="2292"/>
    </row>
    <row r="612">
      <c r="N612" s="2292"/>
    </row>
    <row r="613">
      <c r="N613" s="2292"/>
    </row>
    <row r="614">
      <c r="N614" s="2292"/>
    </row>
    <row r="615">
      <c r="N615" s="2292"/>
    </row>
    <row r="616">
      <c r="N616" s="2292"/>
    </row>
    <row r="617">
      <c r="N617" s="2292"/>
    </row>
    <row r="618">
      <c r="N618" s="2292"/>
    </row>
    <row r="619">
      <c r="N619" s="2292"/>
    </row>
    <row r="620">
      <c r="N620" s="2292"/>
    </row>
    <row r="621">
      <c r="N621" s="2292"/>
    </row>
    <row r="622">
      <c r="N622" s="2292"/>
    </row>
    <row r="623">
      <c r="N623" s="2292"/>
    </row>
    <row r="624">
      <c r="N624" s="2292"/>
    </row>
    <row r="625">
      <c r="N625" s="2292"/>
    </row>
    <row r="626">
      <c r="N626" s="2292"/>
    </row>
    <row r="627">
      <c r="N627" s="2292"/>
    </row>
    <row r="628">
      <c r="N628" s="2292"/>
    </row>
    <row r="629">
      <c r="N629" s="2292"/>
    </row>
    <row r="630">
      <c r="N630" s="2292"/>
    </row>
    <row r="631">
      <c r="N631" s="2292"/>
    </row>
    <row r="632">
      <c r="N632" s="2292"/>
    </row>
    <row r="633">
      <c r="N633" s="2292"/>
    </row>
    <row r="634">
      <c r="N634" s="2292"/>
    </row>
    <row r="635">
      <c r="N635" s="2292"/>
    </row>
    <row r="636">
      <c r="N636" s="2292"/>
    </row>
    <row r="637">
      <c r="N637" s="2292"/>
    </row>
    <row r="638">
      <c r="N638" s="2292"/>
    </row>
    <row r="639">
      <c r="N639" s="2292"/>
    </row>
    <row r="640">
      <c r="N640" s="2292"/>
    </row>
    <row r="641">
      <c r="N641" s="2292"/>
    </row>
    <row r="642">
      <c r="N642" s="2292"/>
    </row>
    <row r="643">
      <c r="N643" s="2292"/>
    </row>
    <row r="644">
      <c r="N644" s="2292"/>
    </row>
    <row r="645">
      <c r="N645" s="2292"/>
    </row>
    <row r="646">
      <c r="N646" s="2292"/>
    </row>
    <row r="647">
      <c r="N647" s="2292"/>
    </row>
    <row r="648">
      <c r="N648" s="2292"/>
    </row>
    <row r="649">
      <c r="N649" s="2292"/>
    </row>
    <row r="650">
      <c r="N650" s="2292"/>
    </row>
    <row r="651">
      <c r="N651" s="2292"/>
    </row>
    <row r="652">
      <c r="N652" s="2292"/>
    </row>
    <row r="653">
      <c r="N653" s="2292"/>
    </row>
    <row r="654">
      <c r="N654" s="2292"/>
    </row>
    <row r="655">
      <c r="N655" s="2292"/>
    </row>
    <row r="656">
      <c r="N656" s="2292"/>
    </row>
    <row r="657">
      <c r="N657" s="2292"/>
    </row>
    <row r="658">
      <c r="N658" s="2292"/>
    </row>
    <row r="659">
      <c r="N659" s="2292"/>
    </row>
    <row r="660">
      <c r="N660" s="2292"/>
    </row>
    <row r="661">
      <c r="N661" s="2292"/>
    </row>
    <row r="662">
      <c r="N662" s="2292"/>
    </row>
    <row r="663">
      <c r="N663" s="2292"/>
    </row>
    <row r="664">
      <c r="N664" s="2292"/>
    </row>
    <row r="665">
      <c r="N665" s="2292"/>
    </row>
    <row r="666">
      <c r="N666" s="2292"/>
    </row>
    <row r="667">
      <c r="N667" s="2292"/>
    </row>
    <row r="668">
      <c r="N668" s="2292"/>
    </row>
    <row r="669">
      <c r="N669" s="2292"/>
    </row>
    <row r="670">
      <c r="N670" s="2292"/>
    </row>
    <row r="671">
      <c r="N671" s="2292"/>
    </row>
    <row r="672">
      <c r="N672" s="2292"/>
    </row>
    <row r="673">
      <c r="N673" s="2292"/>
    </row>
    <row r="674">
      <c r="N674" s="2292"/>
    </row>
    <row r="675">
      <c r="N675" s="2292"/>
    </row>
    <row r="676">
      <c r="N676" s="2292"/>
    </row>
    <row r="677">
      <c r="N677" s="2292"/>
    </row>
    <row r="678">
      <c r="N678" s="2292"/>
    </row>
    <row r="679">
      <c r="N679" s="2292"/>
    </row>
    <row r="680">
      <c r="N680" s="2292"/>
    </row>
    <row r="681">
      <c r="N681" s="2292"/>
    </row>
    <row r="682">
      <c r="N682" s="2292"/>
    </row>
    <row r="683">
      <c r="N683" s="2292"/>
    </row>
    <row r="684">
      <c r="N684" s="2292"/>
    </row>
    <row r="685">
      <c r="N685" s="2292"/>
    </row>
    <row r="686">
      <c r="N686" s="2292"/>
    </row>
    <row r="687">
      <c r="N687" s="2292"/>
    </row>
    <row r="688">
      <c r="N688" s="2292"/>
    </row>
    <row r="689">
      <c r="N689" s="2292"/>
    </row>
    <row r="690">
      <c r="N690" s="2292"/>
    </row>
    <row r="691">
      <c r="N691" s="2292"/>
    </row>
    <row r="692">
      <c r="N692" s="2292"/>
    </row>
    <row r="693">
      <c r="N693" s="2292"/>
    </row>
    <row r="694">
      <c r="N694" s="2292"/>
    </row>
    <row r="695">
      <c r="N695" s="2292"/>
    </row>
    <row r="696">
      <c r="N696" s="2292"/>
    </row>
    <row r="697">
      <c r="N697" s="2292"/>
    </row>
    <row r="698">
      <c r="N698" s="2292"/>
    </row>
    <row r="699">
      <c r="N699" s="2292"/>
    </row>
    <row r="700">
      <c r="N700" s="2292"/>
    </row>
    <row r="701">
      <c r="N701" s="2292"/>
    </row>
    <row r="702">
      <c r="N702" s="2292"/>
    </row>
    <row r="703">
      <c r="N703" s="2292"/>
    </row>
    <row r="704">
      <c r="N704" s="2292"/>
    </row>
    <row r="705">
      <c r="N705" s="2292"/>
    </row>
    <row r="706">
      <c r="N706" s="2292"/>
    </row>
    <row r="707">
      <c r="N707" s="2292"/>
    </row>
    <row r="708">
      <c r="N708" s="2292"/>
    </row>
    <row r="709">
      <c r="N709" s="2292"/>
    </row>
    <row r="710">
      <c r="N710" s="2292"/>
    </row>
    <row r="711">
      <c r="N711" s="2292"/>
    </row>
    <row r="712">
      <c r="N712" s="2292"/>
    </row>
    <row r="713">
      <c r="N713" s="2292"/>
    </row>
    <row r="714">
      <c r="N714" s="2292"/>
    </row>
    <row r="715">
      <c r="N715" s="2292"/>
    </row>
    <row r="716">
      <c r="N716" s="2292"/>
    </row>
    <row r="717">
      <c r="N717" s="2292"/>
    </row>
    <row r="718">
      <c r="N718" s="2292"/>
    </row>
    <row r="719">
      <c r="N719" s="2292"/>
    </row>
    <row r="720">
      <c r="N720" s="2292"/>
    </row>
    <row r="721">
      <c r="N721" s="2292"/>
    </row>
    <row r="722">
      <c r="N722" s="2292"/>
    </row>
    <row r="723">
      <c r="N723" s="2292"/>
    </row>
    <row r="724">
      <c r="N724" s="2292"/>
    </row>
    <row r="725">
      <c r="N725" s="2292"/>
    </row>
    <row r="726">
      <c r="N726" s="2292"/>
    </row>
    <row r="727">
      <c r="N727" s="2292"/>
    </row>
    <row r="728">
      <c r="N728" s="2292"/>
    </row>
    <row r="729">
      <c r="N729" s="2292"/>
    </row>
    <row r="730">
      <c r="N730" s="2292"/>
    </row>
    <row r="731">
      <c r="N731" s="2292"/>
    </row>
    <row r="732">
      <c r="N732" s="2292"/>
    </row>
    <row r="733">
      <c r="N733" s="2292"/>
    </row>
    <row r="734">
      <c r="N734" s="2292"/>
    </row>
    <row r="735">
      <c r="N735" s="2292"/>
    </row>
    <row r="736">
      <c r="N736" s="2292"/>
    </row>
    <row r="737">
      <c r="N737" s="2292"/>
    </row>
    <row r="738">
      <c r="N738" s="2292"/>
    </row>
    <row r="739">
      <c r="N739" s="2292"/>
    </row>
    <row r="740">
      <c r="N740" s="2292"/>
    </row>
    <row r="741">
      <c r="N741" s="2292"/>
    </row>
    <row r="742">
      <c r="N742" s="2292"/>
    </row>
    <row r="743">
      <c r="N743" s="2292"/>
    </row>
    <row r="744">
      <c r="N744" s="2292"/>
    </row>
    <row r="745">
      <c r="N745" s="2292"/>
    </row>
    <row r="746">
      <c r="N746" s="2292"/>
    </row>
    <row r="747">
      <c r="N747" s="2292"/>
    </row>
    <row r="748">
      <c r="N748" s="2292"/>
    </row>
    <row r="749">
      <c r="N749" s="2292"/>
    </row>
    <row r="750">
      <c r="N750" s="2292"/>
    </row>
    <row r="751">
      <c r="N751" s="2292"/>
    </row>
    <row r="752">
      <c r="N752" s="2292"/>
    </row>
    <row r="753">
      <c r="N753" s="2292"/>
    </row>
    <row r="754">
      <c r="N754" s="2292"/>
    </row>
    <row r="755">
      <c r="N755" s="2292"/>
    </row>
    <row r="756">
      <c r="N756" s="2292"/>
    </row>
    <row r="757">
      <c r="N757" s="2292"/>
    </row>
    <row r="758">
      <c r="N758" s="2292"/>
    </row>
    <row r="759">
      <c r="N759" s="2292"/>
    </row>
    <row r="760">
      <c r="N760" s="2292"/>
    </row>
    <row r="761">
      <c r="N761" s="2292"/>
    </row>
    <row r="762">
      <c r="N762" s="2292"/>
    </row>
    <row r="763">
      <c r="N763" s="2292"/>
    </row>
    <row r="764">
      <c r="N764" s="2292"/>
    </row>
    <row r="765">
      <c r="N765" s="2292"/>
    </row>
    <row r="766">
      <c r="N766" s="2292"/>
    </row>
    <row r="767">
      <c r="N767" s="2292"/>
    </row>
    <row r="768">
      <c r="N768" s="2292"/>
    </row>
    <row r="769">
      <c r="N769" s="2292"/>
    </row>
    <row r="770">
      <c r="N770" s="2292"/>
    </row>
    <row r="771">
      <c r="N771" s="2292"/>
    </row>
    <row r="772">
      <c r="N772" s="2292"/>
    </row>
    <row r="773">
      <c r="N773" s="2292"/>
    </row>
    <row r="774">
      <c r="N774" s="2292"/>
    </row>
    <row r="775">
      <c r="N775" s="2292"/>
    </row>
    <row r="776">
      <c r="N776" s="2292"/>
    </row>
    <row r="777">
      <c r="N777" s="2292"/>
    </row>
    <row r="778">
      <c r="N778" s="2292"/>
    </row>
    <row r="779">
      <c r="N779" s="2292"/>
    </row>
    <row r="780">
      <c r="N780" s="2292"/>
    </row>
    <row r="781">
      <c r="N781" s="2292"/>
    </row>
    <row r="782">
      <c r="N782" s="2292"/>
    </row>
    <row r="783">
      <c r="N783" s="2292"/>
    </row>
    <row r="784">
      <c r="N784" s="2292"/>
    </row>
    <row r="785">
      <c r="N785" s="2292"/>
    </row>
    <row r="786">
      <c r="N786" s="2292"/>
    </row>
    <row r="787">
      <c r="N787" s="2292"/>
    </row>
    <row r="788">
      <c r="N788" s="2292"/>
    </row>
    <row r="789">
      <c r="N789" s="2292"/>
    </row>
    <row r="790">
      <c r="N790" s="2292"/>
    </row>
    <row r="791">
      <c r="N791" s="2292"/>
    </row>
    <row r="792">
      <c r="N792" s="2292"/>
    </row>
    <row r="793">
      <c r="N793" s="2292"/>
    </row>
    <row r="794">
      <c r="N794" s="2292"/>
    </row>
    <row r="795">
      <c r="N795" s="2292"/>
    </row>
    <row r="796">
      <c r="N796" s="2292"/>
    </row>
    <row r="797">
      <c r="N797" s="2292"/>
    </row>
    <row r="798">
      <c r="N798" s="2292"/>
    </row>
    <row r="799">
      <c r="N799" s="2292"/>
    </row>
    <row r="800">
      <c r="N800" s="2292"/>
    </row>
    <row r="801">
      <c r="N801" s="2292"/>
    </row>
    <row r="802">
      <c r="N802" s="2292"/>
    </row>
    <row r="803">
      <c r="N803" s="2292"/>
    </row>
    <row r="804">
      <c r="N804" s="2292"/>
    </row>
    <row r="805">
      <c r="N805" s="2292"/>
    </row>
    <row r="806">
      <c r="N806" s="2292"/>
    </row>
    <row r="807">
      <c r="N807" s="2292"/>
    </row>
    <row r="808">
      <c r="N808" s="2292"/>
    </row>
    <row r="809">
      <c r="N809" s="2292"/>
    </row>
    <row r="810">
      <c r="N810" s="2292"/>
    </row>
    <row r="811">
      <c r="N811" s="2292"/>
    </row>
    <row r="812">
      <c r="N812" s="2292"/>
    </row>
    <row r="813">
      <c r="N813" s="2292"/>
    </row>
    <row r="814">
      <c r="N814" s="2292"/>
    </row>
    <row r="815">
      <c r="N815" s="2292"/>
    </row>
    <row r="816">
      <c r="N816" s="2292"/>
    </row>
    <row r="817">
      <c r="N817" s="2292"/>
    </row>
    <row r="818">
      <c r="N818" s="2292"/>
    </row>
    <row r="819">
      <c r="N819" s="2292"/>
    </row>
    <row r="820">
      <c r="N820" s="2292"/>
    </row>
    <row r="821">
      <c r="N821" s="2292"/>
    </row>
    <row r="822">
      <c r="N822" s="2292"/>
    </row>
    <row r="823">
      <c r="N823" s="2292"/>
    </row>
    <row r="824">
      <c r="N824" s="2292"/>
    </row>
    <row r="825">
      <c r="N825" s="2292"/>
    </row>
    <row r="826">
      <c r="N826" s="2292"/>
    </row>
    <row r="827">
      <c r="N827" s="2292"/>
    </row>
    <row r="828">
      <c r="N828" s="2292"/>
    </row>
    <row r="829">
      <c r="N829" s="2292"/>
    </row>
    <row r="830">
      <c r="N830" s="2292"/>
    </row>
    <row r="831">
      <c r="N831" s="2292"/>
    </row>
    <row r="832">
      <c r="N832" s="2292"/>
    </row>
    <row r="833">
      <c r="N833" s="2292"/>
    </row>
    <row r="834">
      <c r="N834" s="2292"/>
    </row>
    <row r="835">
      <c r="N835" s="2292"/>
    </row>
    <row r="836">
      <c r="N836" s="2292"/>
    </row>
    <row r="837">
      <c r="N837" s="2292"/>
    </row>
    <row r="838">
      <c r="N838" s="2292"/>
    </row>
    <row r="839">
      <c r="N839" s="2292"/>
    </row>
    <row r="840">
      <c r="N840" s="2292"/>
    </row>
    <row r="841">
      <c r="N841" s="2292"/>
    </row>
    <row r="842">
      <c r="N842" s="2292"/>
    </row>
    <row r="843">
      <c r="N843" s="2292"/>
    </row>
    <row r="844">
      <c r="N844" s="2292"/>
    </row>
    <row r="845">
      <c r="N845" s="2292"/>
    </row>
    <row r="846">
      <c r="N846" s="2292"/>
    </row>
    <row r="847">
      <c r="N847" s="2292"/>
    </row>
    <row r="848">
      <c r="N848" s="2292"/>
    </row>
    <row r="849">
      <c r="N849" s="2292"/>
    </row>
    <row r="850">
      <c r="N850" s="2292"/>
    </row>
    <row r="851">
      <c r="N851" s="2292"/>
    </row>
    <row r="852">
      <c r="N852" s="2292"/>
    </row>
    <row r="853">
      <c r="N853" s="2292"/>
    </row>
    <row r="854">
      <c r="N854" s="2292"/>
    </row>
    <row r="855">
      <c r="N855" s="2292"/>
    </row>
    <row r="856">
      <c r="N856" s="2292"/>
    </row>
    <row r="857">
      <c r="N857" s="2292"/>
    </row>
    <row r="858">
      <c r="N858" s="2292"/>
    </row>
    <row r="859">
      <c r="N859" s="2292"/>
    </row>
    <row r="860">
      <c r="N860" s="2292"/>
    </row>
    <row r="861">
      <c r="N861" s="2292"/>
    </row>
    <row r="862">
      <c r="N862" s="2292"/>
    </row>
    <row r="863">
      <c r="N863" s="2292"/>
    </row>
    <row r="864">
      <c r="N864" s="2292"/>
    </row>
    <row r="865">
      <c r="N865" s="2292"/>
    </row>
    <row r="866">
      <c r="N866" s="2292"/>
    </row>
    <row r="867">
      <c r="N867" s="2292"/>
    </row>
    <row r="868">
      <c r="N868" s="2292"/>
    </row>
    <row r="869">
      <c r="N869" s="2292"/>
    </row>
    <row r="870">
      <c r="N870" s="2292"/>
    </row>
    <row r="871">
      <c r="N871" s="2292"/>
    </row>
    <row r="872">
      <c r="N872" s="2292"/>
    </row>
    <row r="873">
      <c r="N873" s="2292"/>
    </row>
    <row r="874">
      <c r="N874" s="2292"/>
    </row>
    <row r="875">
      <c r="N875" s="2292"/>
    </row>
    <row r="876">
      <c r="N876" s="2292"/>
    </row>
    <row r="877">
      <c r="N877" s="2292"/>
    </row>
    <row r="878">
      <c r="N878" s="2292"/>
    </row>
    <row r="879">
      <c r="N879" s="2292"/>
    </row>
    <row r="880">
      <c r="N880" s="2292"/>
    </row>
    <row r="881">
      <c r="N881" s="2292"/>
    </row>
    <row r="882">
      <c r="N882" s="2292"/>
    </row>
    <row r="883">
      <c r="N883" s="2292"/>
    </row>
    <row r="884">
      <c r="N884" s="2292"/>
    </row>
    <row r="885">
      <c r="N885" s="2292"/>
    </row>
    <row r="886">
      <c r="N886" s="2292"/>
    </row>
    <row r="887">
      <c r="N887" s="2292"/>
    </row>
    <row r="888">
      <c r="N888" s="2292"/>
    </row>
    <row r="889">
      <c r="N889" s="2292"/>
    </row>
    <row r="890">
      <c r="N890" s="2292"/>
    </row>
    <row r="891">
      <c r="N891" s="2292"/>
    </row>
    <row r="892">
      <c r="N892" s="2292"/>
    </row>
    <row r="893">
      <c r="N893" s="2292"/>
    </row>
    <row r="894">
      <c r="N894" s="2292"/>
    </row>
    <row r="895">
      <c r="N895" s="2292"/>
    </row>
    <row r="896">
      <c r="N896" s="2292"/>
    </row>
    <row r="897">
      <c r="N897" s="2292"/>
    </row>
    <row r="898">
      <c r="N898" s="2292"/>
    </row>
    <row r="899">
      <c r="N899" s="2292"/>
    </row>
    <row r="900">
      <c r="N900" s="2292"/>
    </row>
    <row r="901">
      <c r="N901" s="2292"/>
    </row>
    <row r="902">
      <c r="N902" s="2292"/>
    </row>
    <row r="903">
      <c r="N903" s="2292"/>
    </row>
    <row r="904">
      <c r="N904" s="2292"/>
    </row>
    <row r="905">
      <c r="N905" s="2292"/>
    </row>
    <row r="906">
      <c r="N906" s="2292"/>
    </row>
    <row r="907">
      <c r="N907" s="2292"/>
    </row>
    <row r="908">
      <c r="N908" s="2292"/>
    </row>
    <row r="909">
      <c r="N909" s="2292"/>
    </row>
    <row r="910">
      <c r="N910" s="2292"/>
    </row>
    <row r="911">
      <c r="N911" s="2292"/>
    </row>
    <row r="912">
      <c r="N912" s="2292"/>
    </row>
    <row r="913">
      <c r="N913" s="2292"/>
    </row>
    <row r="914">
      <c r="N914" s="2292"/>
    </row>
    <row r="915">
      <c r="N915" s="2292"/>
    </row>
    <row r="916">
      <c r="N916" s="2292"/>
    </row>
    <row r="917">
      <c r="N917" s="2292"/>
    </row>
    <row r="918">
      <c r="N918" s="2292"/>
    </row>
    <row r="919">
      <c r="N919" s="2292"/>
    </row>
    <row r="920">
      <c r="N920" s="2292"/>
    </row>
    <row r="921">
      <c r="N921" s="2292"/>
    </row>
    <row r="922">
      <c r="N922" s="2292"/>
    </row>
    <row r="923">
      <c r="N923" s="2292"/>
    </row>
    <row r="924">
      <c r="N924" s="2292"/>
    </row>
    <row r="925">
      <c r="N925" s="2292"/>
    </row>
    <row r="926">
      <c r="N926" s="2292"/>
    </row>
    <row r="927">
      <c r="N927" s="2292"/>
    </row>
    <row r="928">
      <c r="N928" s="2292"/>
    </row>
    <row r="929">
      <c r="N929" s="2292"/>
    </row>
    <row r="930">
      <c r="N930" s="2292"/>
    </row>
    <row r="931">
      <c r="N931" s="2292"/>
    </row>
    <row r="932">
      <c r="N932" s="2292"/>
    </row>
    <row r="933">
      <c r="N933" s="2292"/>
    </row>
    <row r="934">
      <c r="N934" s="2292"/>
    </row>
    <row r="935">
      <c r="N935" s="2292"/>
    </row>
    <row r="936">
      <c r="N936" s="2292"/>
    </row>
    <row r="937">
      <c r="N937" s="2292"/>
    </row>
    <row r="938">
      <c r="N938" s="2292"/>
    </row>
    <row r="939">
      <c r="N939" s="2292"/>
    </row>
    <row r="940">
      <c r="N940" s="2292"/>
    </row>
    <row r="941">
      <c r="N941" s="2292"/>
    </row>
    <row r="942">
      <c r="N942" s="2292"/>
    </row>
    <row r="943">
      <c r="N943" s="2292"/>
    </row>
    <row r="944">
      <c r="N944" s="2292"/>
    </row>
    <row r="945">
      <c r="N945" s="2292"/>
    </row>
    <row r="946">
      <c r="N946" s="2292"/>
    </row>
    <row r="947">
      <c r="N947" s="2292"/>
    </row>
    <row r="948">
      <c r="N948" s="2292"/>
    </row>
    <row r="949">
      <c r="N949" s="2292"/>
    </row>
    <row r="950">
      <c r="N950" s="2292"/>
    </row>
    <row r="951">
      <c r="N951" s="2292"/>
    </row>
    <row r="952">
      <c r="N952" s="2292"/>
    </row>
    <row r="953">
      <c r="N953" s="2292"/>
    </row>
    <row r="954">
      <c r="N954" s="2292"/>
    </row>
    <row r="955">
      <c r="N955" s="2292"/>
    </row>
    <row r="956">
      <c r="N956" s="2292"/>
    </row>
    <row r="957">
      <c r="N957" s="2292"/>
    </row>
    <row r="958">
      <c r="N958" s="2292"/>
    </row>
    <row r="959">
      <c r="N959" s="2292"/>
    </row>
    <row r="960">
      <c r="N960" s="2292"/>
    </row>
    <row r="961">
      <c r="N961" s="2292"/>
    </row>
    <row r="962">
      <c r="N962" s="2292"/>
    </row>
    <row r="963">
      <c r="N963" s="2292"/>
    </row>
    <row r="964">
      <c r="N964" s="2292"/>
    </row>
    <row r="965">
      <c r="N965" s="2292"/>
    </row>
    <row r="966">
      <c r="N966" s="2292"/>
    </row>
    <row r="967">
      <c r="N967" s="2292"/>
    </row>
    <row r="968">
      <c r="N968" s="2292"/>
    </row>
    <row r="969">
      <c r="N969" s="2292"/>
    </row>
    <row r="970">
      <c r="N970" s="2292"/>
    </row>
    <row r="971">
      <c r="N971" s="2292"/>
    </row>
    <row r="972">
      <c r="N972" s="2292"/>
    </row>
    <row r="973">
      <c r="N973" s="2292"/>
    </row>
    <row r="974">
      <c r="N974" s="2292"/>
    </row>
    <row r="975">
      <c r="N975" s="2292"/>
    </row>
    <row r="976">
      <c r="N976" s="2292"/>
    </row>
    <row r="977">
      <c r="N977" s="2292"/>
    </row>
    <row r="978">
      <c r="N978" s="2292"/>
    </row>
    <row r="979">
      <c r="N979" s="2292"/>
    </row>
    <row r="980">
      <c r="N980" s="2292"/>
    </row>
    <row r="981">
      <c r="N981" s="2292"/>
    </row>
    <row r="982">
      <c r="N982" s="2292"/>
    </row>
    <row r="983">
      <c r="N983" s="2292"/>
    </row>
    <row r="984">
      <c r="N984" s="2292"/>
    </row>
    <row r="985">
      <c r="N985" s="2292"/>
    </row>
    <row r="986">
      <c r="N986" s="2292"/>
    </row>
    <row r="987">
      <c r="N987" s="2292"/>
    </row>
    <row r="988">
      <c r="N988" s="2292"/>
    </row>
    <row r="989">
      <c r="N989" s="2292"/>
    </row>
    <row r="990">
      <c r="N990" s="2292"/>
    </row>
    <row r="991">
      <c r="N991" s="2292"/>
    </row>
    <row r="992">
      <c r="N992" s="2292"/>
    </row>
    <row r="993">
      <c r="N993" s="2292"/>
    </row>
    <row r="994">
      <c r="N994" s="2292"/>
    </row>
    <row r="995">
      <c r="N995" s="2292"/>
    </row>
  </sheetData>
  <mergeCells count="57">
    <mergeCell ref="K41:K44"/>
    <mergeCell ref="K45:K48"/>
    <mergeCell ref="H35:H38"/>
    <mergeCell ref="K35:K38"/>
    <mergeCell ref="E39:E40"/>
    <mergeCell ref="H39:H40"/>
    <mergeCell ref="K39:K40"/>
    <mergeCell ref="H41:H44"/>
    <mergeCell ref="H45:H48"/>
    <mergeCell ref="A1:B2"/>
    <mergeCell ref="A3:C3"/>
    <mergeCell ref="D3:E3"/>
    <mergeCell ref="I3:K3"/>
    <mergeCell ref="L3:M3"/>
    <mergeCell ref="A5:A9"/>
    <mergeCell ref="B5:B9"/>
    <mergeCell ref="K5:K9"/>
    <mergeCell ref="F3:H3"/>
    <mergeCell ref="H5:H9"/>
    <mergeCell ref="B10:B17"/>
    <mergeCell ref="H10:H13"/>
    <mergeCell ref="K10:K13"/>
    <mergeCell ref="H14:H17"/>
    <mergeCell ref="H18:H20"/>
    <mergeCell ref="K25:K28"/>
    <mergeCell ref="K29:K30"/>
    <mergeCell ref="H49:H52"/>
    <mergeCell ref="K49:K52"/>
    <mergeCell ref="H53:H56"/>
    <mergeCell ref="K53:K56"/>
    <mergeCell ref="H57:H60"/>
    <mergeCell ref="K57:K60"/>
    <mergeCell ref="K21:K24"/>
    <mergeCell ref="K31:K34"/>
    <mergeCell ref="A10:A17"/>
    <mergeCell ref="A18:A24"/>
    <mergeCell ref="B18:B24"/>
    <mergeCell ref="A25:A30"/>
    <mergeCell ref="B25:B30"/>
    <mergeCell ref="E29:E30"/>
    <mergeCell ref="B31:B34"/>
    <mergeCell ref="K14:K17"/>
    <mergeCell ref="K18:K20"/>
    <mergeCell ref="H21:H24"/>
    <mergeCell ref="H25:H28"/>
    <mergeCell ref="N27:N28"/>
    <mergeCell ref="H29:H30"/>
    <mergeCell ref="H31:H34"/>
    <mergeCell ref="A57:A60"/>
    <mergeCell ref="B57:B60"/>
    <mergeCell ref="A31:A34"/>
    <mergeCell ref="A35:A40"/>
    <mergeCell ref="B35:B40"/>
    <mergeCell ref="A41:A48"/>
    <mergeCell ref="B41:B48"/>
    <mergeCell ref="A49:A56"/>
    <mergeCell ref="B49:B56"/>
  </mergeCells>
  <dataValidations>
    <dataValidation type="list" allowBlank="1" showErrorMessage="1" sqref="D5:D60">
      <formula1>"Bảo Tâm,Cá,KChang,Kim Anh,Nghi Giao,Tâm Vy,Vi Vi,Henry,Nimie,Thành Danh,Lucas,Đức,Diễm Châu,Thanh Trang,Công Haậu,Như Phương,Kim Yến"</formula1>
    </dataValidation>
    <dataValidation type="list" allowBlank="1" showErrorMessage="1" sqref="G5:G60">
      <formula1>"L2,L3"</formula1>
    </dataValidation>
  </dataValidations>
  <hyperlinks>
    <hyperlink r:id="rId1" ref="N6"/>
    <hyperlink r:id="rId2" ref="N9"/>
    <hyperlink r:id="rId3" ref="N12"/>
    <hyperlink r:id="rId4" ref="N15"/>
    <hyperlink r:id="rId5" ref="N16"/>
    <hyperlink r:id="rId6" ref="N18"/>
    <hyperlink r:id="rId7" ref="N19"/>
    <hyperlink r:id="rId8" ref="N20"/>
    <hyperlink r:id="rId9" ref="N22"/>
    <hyperlink r:id="rId10" ref="N23"/>
    <hyperlink r:id="rId11" ref="N25"/>
    <hyperlink r:id="rId12" ref="N26"/>
    <hyperlink r:id="rId13" ref="N27"/>
    <hyperlink r:id="rId14" ref="N32"/>
    <hyperlink r:id="rId15" ref="N33"/>
    <hyperlink r:id="rId16" ref="N34"/>
    <hyperlink r:id="rId17" ref="N35"/>
    <hyperlink r:id="rId18" ref="N36"/>
    <hyperlink r:id="rId19" ref="N38"/>
    <hyperlink r:id="rId20" ref="N40"/>
    <hyperlink r:id="rId21" ref="N41"/>
    <hyperlink r:id="rId22" ref="N42"/>
    <hyperlink r:id="rId23" ref="N44"/>
    <hyperlink r:id="rId24" ref="N49"/>
    <hyperlink r:id="rId25" ref="N50"/>
    <hyperlink r:id="rId26" ref="N51"/>
    <hyperlink r:id="rId27" ref="N52"/>
    <hyperlink r:id="rId28" ref="N54"/>
    <hyperlink r:id="rId29" ref="N56"/>
    <hyperlink r:id="rId30" ref="N58"/>
  </hyperlinks>
  <drawing r:id="rId3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